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row\content-build\press\dataset\"/>
    </mc:Choice>
  </mc:AlternateContent>
  <xr:revisionPtr revIDLastSave="0" documentId="8_{34DC3C51-7F04-42D9-A21A-3DFD300AB005}" xr6:coauthVersionLast="47" xr6:coauthVersionMax="47" xr10:uidLastSave="{00000000-0000-0000-0000-000000000000}"/>
  <bookViews>
    <workbookView xWindow="31020" yWindow="2280" windowWidth="21240" windowHeight="11805"/>
  </bookViews>
  <sheets>
    <sheet name="destination-deals-graded" sheetId="2" r:id="rId1"/>
    <sheet name="ric-fares-FULL-aug-oct-2026" sheetId="1" r:id="rId2"/>
  </sheets>
  <calcPr calcId="0"/>
  <pivotCaches>
    <pivotCache cacheId="2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<sst xmlns="http://schemas.openxmlformats.org/spreadsheetml/2006/main" count="1315" uniqueCount="215">
  <si>
    <t>date_found</t>
  </si>
  <si>
    <t>origin</t>
  </si>
  <si>
    <t>destination_code</t>
  </si>
  <si>
    <t>destination</t>
  </si>
  <si>
    <t>fare_usd</t>
  </si>
  <si>
    <t>deal_grade</t>
  </si>
  <si>
    <t>stops</t>
  </si>
  <si>
    <t>airline</t>
  </si>
  <si>
    <t>travel_dates</t>
  </si>
  <si>
    <t>google_typical_low_usd</t>
  </si>
  <si>
    <t>google_typical_high_usd</t>
  </si>
  <si>
    <t>RIC</t>
  </si>
  <si>
    <t>LGA</t>
  </si>
  <si>
    <t>New York (LaGuardia)</t>
  </si>
  <si>
    <t>American</t>
  </si>
  <si>
    <t>Thu, Sep 17 â€“ Sun, Sep 20</t>
  </si>
  <si>
    <t>FLL</t>
  </si>
  <si>
    <t>Fort Lauderdale</t>
  </si>
  <si>
    <t>JetBlue</t>
  </si>
  <si>
    <t>Sat, Sep 12 â€“ Mon, Sep 14</t>
  </si>
  <si>
    <t>MDW</t>
  </si>
  <si>
    <t>Chicago (Midway)</t>
  </si>
  <si>
    <t>Southwest</t>
  </si>
  <si>
    <t>Thu, Oct 22 â€“ Mon, Oct 26</t>
  </si>
  <si>
    <t>LHR</t>
  </si>
  <si>
    <t>London (Heathrow)</t>
  </si>
  <si>
    <t>United</t>
  </si>
  <si>
    <t>Sun, Oct 11 â€“ Tue, Oct 20</t>
  </si>
  <si>
    <t>MBJ</t>
  </si>
  <si>
    <t>Montego Bay</t>
  </si>
  <si>
    <t>Mon, Nov 2 â€“ Tue, Nov 10</t>
  </si>
  <si>
    <t>LGW</t>
  </si>
  <si>
    <t>London (Gatwick)</t>
  </si>
  <si>
    <t>British Airways</t>
  </si>
  <si>
    <t>Mon, Sep 21 â€“ Tue, Sep 29</t>
  </si>
  <si>
    <t>JFK</t>
  </si>
  <si>
    <t>New York (JFK)</t>
  </si>
  <si>
    <t>Delta</t>
  </si>
  <si>
    <t>Thu, Nov 5 â€“ Sun, Nov 8</t>
  </si>
  <si>
    <t>LAS</t>
  </si>
  <si>
    <t>Las Vegas</t>
  </si>
  <si>
    <t>Breeze</t>
  </si>
  <si>
    <t>Sun, Jan 24 â€“ Tue, Feb 2</t>
  </si>
  <si>
    <t>BOS</t>
  </si>
  <si>
    <t>Boston</t>
  </si>
  <si>
    <t>Thu, Oct 1 â€“ Mon, Oct 5</t>
  </si>
  <si>
    <t>LIS</t>
  </si>
  <si>
    <t>Lisbon</t>
  </si>
  <si>
    <t>Mon, Sep 28 â€“ Tue, Oct 6</t>
  </si>
  <si>
    <t>BNA</t>
  </si>
  <si>
    <t>Nashville</t>
  </si>
  <si>
    <t>Allegiant</t>
  </si>
  <si>
    <t>Thu, Nov 19 â€“ Sun, Nov 22</t>
  </si>
  <si>
    <t>CUN</t>
  </si>
  <si>
    <t>Cancun</t>
  </si>
  <si>
    <t>Mon, Oct 5 â€“ Wed, Oct 14</t>
  </si>
  <si>
    <t>MIA</t>
  </si>
  <si>
    <t>Miami</t>
  </si>
  <si>
    <t>Sat, Dec 5 â€“ Sat, Dec 12</t>
  </si>
  <si>
    <t>EWR</t>
  </si>
  <si>
    <t>Newark</t>
  </si>
  <si>
    <t>Thu, Dec 3 â€“ Mon, Dec 7</t>
  </si>
  <si>
    <t>FCO</t>
  </si>
  <si>
    <t>Rome</t>
  </si>
  <si>
    <t>Condor</t>
  </si>
  <si>
    <t>Fri, Sep 11 â€“ Thu, Sep 17</t>
  </si>
  <si>
    <t>CDG</t>
  </si>
  <si>
    <t>Paris</t>
  </si>
  <si>
    <t>Sat, Sep 19 â€“ Mon, Sep 21</t>
  </si>
  <si>
    <t>DUB</t>
  </si>
  <si>
    <t>Dublin</t>
  </si>
  <si>
    <t>Sun, Sep 27 â€“ Tue, Oct 6</t>
  </si>
  <si>
    <t>Thu, Sep 24 â€“ Sun, Sep 27</t>
  </si>
  <si>
    <t>Sun, Nov 15 â€“ Tue, Nov 24</t>
  </si>
  <si>
    <t>Sat, Nov 7 â€“ Fri, Nov 13</t>
  </si>
  <si>
    <t>Thu, Nov 5 â€“ Mon, Nov 9</t>
  </si>
  <si>
    <t>Thu, Oct 1 â€“ Sun, Oct 4</t>
  </si>
  <si>
    <t>Frontier</t>
  </si>
  <si>
    <t>Fri, Sep 25 â€“ Thu, Oct 1</t>
  </si>
  <si>
    <t>CHS</t>
  </si>
  <si>
    <t>Charleston</t>
  </si>
  <si>
    <t>Fri, Feb 5 â€“ Mon, Feb 8</t>
  </si>
  <si>
    <t>Mon, Oct 26 â€“ Wed, Nov 4</t>
  </si>
  <si>
    <t>Thu, Oct 29 â€“ Sun, Nov 1</t>
  </si>
  <si>
    <t>MCO</t>
  </si>
  <si>
    <t>Orlando</t>
  </si>
  <si>
    <t>Mon, Dec 7 â€“ Wed, Dec 16</t>
  </si>
  <si>
    <t>RSW</t>
  </si>
  <si>
    <t>Fort Myers</t>
  </si>
  <si>
    <t>Thu, Jan 21 â€“ Thu, Jan 28</t>
  </si>
  <si>
    <t>DEN</t>
  </si>
  <si>
    <t>Denver</t>
  </si>
  <si>
    <t>Mon, Nov 2 â€“ Mon, Nov 9</t>
  </si>
  <si>
    <t>Sat, Jan 9 â€“ Sat, Jan 16</t>
  </si>
  <si>
    <t>Fri, Oct 30 â€“ Fri, Nov 6</t>
  </si>
  <si>
    <t>Sat, Oct 17 â€“ Mon, Oct 19</t>
  </si>
  <si>
    <t>PLS</t>
  </si>
  <si>
    <t>Providenciales</t>
  </si>
  <si>
    <t>Sat, Nov 21 â€“ Mon, Nov 23</t>
  </si>
  <si>
    <t>Fri, Oct 30 â€“ Thu, Nov 5</t>
  </si>
  <si>
    <t>TPA</t>
  </si>
  <si>
    <t>Tampa</t>
  </si>
  <si>
    <t>Thu, Nov 12 â€“ Wed, Nov 18</t>
  </si>
  <si>
    <t>PUJ</t>
  </si>
  <si>
    <t>Punta Cana</t>
  </si>
  <si>
    <t>Sat, Nov 14 â€“ Mon, Nov 16</t>
  </si>
  <si>
    <t>Mon, Sep 28 â€“ Mon, Oct 5</t>
  </si>
  <si>
    <t>Mon, Oct 12 â€“ Wed, Oct 21</t>
  </si>
  <si>
    <t>Virgin Atlantic</t>
  </si>
  <si>
    <t>Thu, Sep 24 â€“ Thu, Oct 1</t>
  </si>
  <si>
    <t>Sat, Dec 5 â€“ Mon, Dec 7</t>
  </si>
  <si>
    <t>Sun, Oct 18 â€“ Tue, Oct 27</t>
  </si>
  <si>
    <t>ORD</t>
  </si>
  <si>
    <t>Chicago (O'Hare)</t>
  </si>
  <si>
    <t>Thu, Jan 7 â€“ Mon, Jan 11</t>
  </si>
  <si>
    <t>Thu, Oct 15 â€“ Mon, Oct 19</t>
  </si>
  <si>
    <t>AUA</t>
  </si>
  <si>
    <t>Aruba</t>
  </si>
  <si>
    <t>Thu, Jan 7 â€“ Wed, Jan 13</t>
  </si>
  <si>
    <t>Thu, Dec 10 â€“ Sun, Dec 13</t>
  </si>
  <si>
    <t>Sun, Mar 14 â€“ Sat, Mar 20</t>
  </si>
  <si>
    <t>Sat, Nov 7 â€“ Sat, Nov 14</t>
  </si>
  <si>
    <t>Mon, Nov 16 â€“ Tue, Nov 24</t>
  </si>
  <si>
    <t>Thu, Jan 21 â€“ Mon, Jan 25</t>
  </si>
  <si>
    <t>Sat, Oct 10 â€“ Sat, Oct 17</t>
  </si>
  <si>
    <t>Mon, Nov 16 â€“ Wed, Nov 25</t>
  </si>
  <si>
    <t>Fri, Oct 2 â€“ Mon, Oct 5</t>
  </si>
  <si>
    <t>Sat, Oct 24 â€“ Sat, Oct 31</t>
  </si>
  <si>
    <t>Mon, Oct 26 â€“ Tue, Nov 3</t>
  </si>
  <si>
    <t>Mon, Nov 30 â€“ Tue, Dec 8</t>
  </si>
  <si>
    <t>Sat, Dec 12 â€“ Fri, Dec 18</t>
  </si>
  <si>
    <t>Mon, Mar 1 â€“ Tue, Mar 9</t>
  </si>
  <si>
    <t>Mon, Oct 19 â€“ Mon, Oct 26</t>
  </si>
  <si>
    <t>Thu, Dec 3 â€“ Sun, Dec 6</t>
  </si>
  <si>
    <t>Fri, Jan 15 â€“ Fri, Jan 22</t>
  </si>
  <si>
    <t>Sun, Dec 6 â€“ Tue, Dec 15</t>
  </si>
  <si>
    <t>Mon, Mar 15 â€“ Tue, Mar 23</t>
  </si>
  <si>
    <t>Sun, Mar 7 â€“ Tue, Mar 16</t>
  </si>
  <si>
    <t>Mon, Oct 12 â€“ Tue, Oct 20</t>
  </si>
  <si>
    <t>Mon, Feb 1 â€“ Tue, Feb 9</t>
  </si>
  <si>
    <t>Mon, Feb 22 â€“ Mon, Mar 1</t>
  </si>
  <si>
    <t>Sun, Feb 7 â€“ Sat, Feb 13</t>
  </si>
  <si>
    <t>Sat, Oct 24 â€“ Sun, Nov 1</t>
  </si>
  <si>
    <t>Sat, Oct 3 â€“ Mon, Oct 5</t>
  </si>
  <si>
    <t>Mon, Mar 1 â€“ Sun, Mar 7</t>
  </si>
  <si>
    <t>Sun, Nov 8 â€“ Tue, Nov 17</t>
  </si>
  <si>
    <t>Thu, Oct 22 â€“ Wed, Oct 28</t>
  </si>
  <si>
    <t>Sat, Nov 14 â€“ Fri, Nov 20</t>
  </si>
  <si>
    <t>Sat, Feb 6 â€“ Sat, Feb 13</t>
  </si>
  <si>
    <t>Sat, Feb 6 â€“ Mon, Feb 8</t>
  </si>
  <si>
    <t>Thu, Feb 4 â€“ Sun, Feb 7</t>
  </si>
  <si>
    <t>Mon, Feb 1 â€“ Mon, Feb 8</t>
  </si>
  <si>
    <t>Sat, Oct 3 â€“ Sat, Oct 10</t>
  </si>
  <si>
    <t>Sat, Feb 20 â€“ Sat, Feb 27</t>
  </si>
  <si>
    <t>Sat, Jan 23 â€“ Mon, Jan 25</t>
  </si>
  <si>
    <t>Sun, Oct 25 â€“ Tue, Nov 3</t>
  </si>
  <si>
    <t>Mon, Dec 7 â€“ Tue, Dec 15</t>
  </si>
  <si>
    <t>Fri, Dec 4 â€“ Sun, Dec 6</t>
  </si>
  <si>
    <t>Sat, Oct 31 â€“ Fri, Nov 6</t>
  </si>
  <si>
    <t>Thu, Nov 26 â€“ Thu, Dec 3</t>
  </si>
  <si>
    <t>Mon, Nov 23 â€“ Wed, Dec 2</t>
  </si>
  <si>
    <t>Thu, Oct 22 â€“ Sun, Oct 25</t>
  </si>
  <si>
    <t>Fri, Jan 8 â€“ Mon, Jan 11</t>
  </si>
  <si>
    <t>Thu, Dec 31 â€“ Fri, Jan 8</t>
  </si>
  <si>
    <t>Mon, Mar 1 â€“ Mon, Mar 8</t>
  </si>
  <si>
    <t>Mon, Nov 9 â€“ Wed, Nov 18</t>
  </si>
  <si>
    <t>Mon, Jan 11 â€“ Tue, Jan 19</t>
  </si>
  <si>
    <t>Sun, Jan 10 â€“ Tue, Jan 19</t>
  </si>
  <si>
    <t>Mon, Dec 14 â€“ Sun, Dec 20</t>
  </si>
  <si>
    <t>Sun, Jan 17 â€“ Sat, Jan 23</t>
  </si>
  <si>
    <t>Mon, Jan 18 â€“ Tue, Jan 26</t>
  </si>
  <si>
    <t>Thu, Nov 5 â€“ Wed, Nov 11</t>
  </si>
  <si>
    <t>Sat, Jan 2 â€“ Fri, Jan 8</t>
  </si>
  <si>
    <t>Sat, Oct 17 â€“ Sun, Oct 18</t>
  </si>
  <si>
    <t>Sat, Dec 5 â€“ Fri, Dec 11</t>
  </si>
  <si>
    <t>Thu, Nov 12 â€“ Mon, Nov 16</t>
  </si>
  <si>
    <t>Mon, Oct 5 â€“ Sun, Oct 11</t>
  </si>
  <si>
    <t>Mon, Jan 25 â€“ Mon, Feb 1</t>
  </si>
  <si>
    <t>Mon, Jan 11 â€“ Wed, Jan 20</t>
  </si>
  <si>
    <t>Sat, Jan 30 â€“ Fri, Feb 5</t>
  </si>
  <si>
    <t>Thu, Oct 29 â€“ Wed, Nov 4</t>
  </si>
  <si>
    <t>Mon, Nov 9 â€“ Tue, Nov 17</t>
  </si>
  <si>
    <t>Fri, Jan 1 â€“ Thu, Jan 7</t>
  </si>
  <si>
    <t>Sun, Nov 22 â€“ Tue, Dec 1</t>
  </si>
  <si>
    <t>Sat, Jan 16 â€“ Fri, Jan 22</t>
  </si>
  <si>
    <t>Fri, Apr 23 â€“ Fri, Apr 30</t>
  </si>
  <si>
    <t>Sun, Nov 29 â€“ Tue, Dec 8</t>
  </si>
  <si>
    <t>Thu, Nov 19 â€“ Wed, Nov 25</t>
  </si>
  <si>
    <t>Sat, Apr 24 â€“ Sat, May 1</t>
  </si>
  <si>
    <t>Sun, Dec 13 â€“ Tue, Dec 22</t>
  </si>
  <si>
    <t>Fri, Jan 1 â€“ Sun, Jan 3</t>
  </si>
  <si>
    <t>Sat, Jan 9 â€“ Mon, Jan 11</t>
  </si>
  <si>
    <t>Fri, Dec 11 â€“ Mon, Dec 14</t>
  </si>
  <si>
    <t>Fri, Dec 4 â€“ Mon, Dec 7</t>
  </si>
  <si>
    <t>Thu, Nov 12 â€“ Thu, Nov 19</t>
  </si>
  <si>
    <t>Thu, Feb 25 â€“ Thu, Mar 4</t>
  </si>
  <si>
    <t>Fri, Nov 13 â€“ Sun, Nov 22</t>
  </si>
  <si>
    <t>Sun, Nov 8 â€“ Mon, Nov 16</t>
  </si>
  <si>
    <t>Thu, Apr 15 â€“ Wed, Apr 21</t>
  </si>
  <si>
    <t>Mon, Jan 11 â€“ Mon, Jan 18</t>
  </si>
  <si>
    <t>Fri, Jan 22 â€“ Sun, Jan 24</t>
  </si>
  <si>
    <t>Thu, Dec 3 â€“ Wed, Dec 9</t>
  </si>
  <si>
    <t>Thu, Jan 7 â€“ Sun, Jan 10</t>
  </si>
  <si>
    <t>Mon, Nov 23 â€“ Tue, Dec 1</t>
  </si>
  <si>
    <t>Thu, Nov 12 â€“ Sun, Nov 15</t>
  </si>
  <si>
    <t>Thu, Feb 4 â€“ Mon, Feb 8</t>
  </si>
  <si>
    <t>Mon, Dec 14 â€“ Tue, Dec 22</t>
  </si>
  <si>
    <t>Sun, Jan 17 â€“ Tue, Jan 26</t>
  </si>
  <si>
    <t>Mon, Jan 4 â€“ Mon, Jan 11</t>
  </si>
  <si>
    <t>Sat, Jan 9 â€“ Sun, Jan 10</t>
  </si>
  <si>
    <t>Thu, Dec 31 â€“ Thu, Jan 7</t>
  </si>
  <si>
    <t>Sat, Jan 23 â€“ Fri, Jan 29</t>
  </si>
  <si>
    <t>Row Labels</t>
  </si>
  <si>
    <t>Grand Total</t>
  </si>
  <si>
    <t>Count of deal_grade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</si>
</sst>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lenn Brown" refreshedDate="46315.108289004631" createdVersion="7" refreshedVersion="7" minRefreshableVersion="3" recordCount="256">
  <cacheSource type="worksheet">
    <worksheetSource ref="A1:K1048576" sheet="ric-fares-FULL-aug-oct-2026"/>
  </cacheSource>
  <cacheFields count="11">
    <cacheField name="date_found" numFmtId="0">
      <sharedItems containsNonDate="0" containsDate="1" containsString="0" containsBlank="1" minDate="2026-08-17T00:00:00" maxDate="2026-10-20T00:00:00"/>
    </cacheField>
    <cacheField name="origin" numFmtId="0">
      <sharedItems containsBlank="1"/>
    </cacheField>
    <cacheField name="destination_code" numFmtId="0">
      <sharedItems containsBlank="1" count="27">
        <s v="LGA"/>
        <s v="FLL"/>
        <s v="MDW"/>
        <s v="LHR"/>
        <s v="MBJ"/>
        <s v="LGW"/>
        <s v="JFK"/>
        <s v="LAS"/>
        <s v="BOS"/>
        <s v="LIS"/>
        <s v="BNA"/>
        <s v="CUN"/>
        <s v="MIA"/>
        <s v="EWR"/>
        <s v="FCO"/>
        <s v="CDG"/>
        <s v="DUB"/>
        <s v="CHS"/>
        <s v="MCO"/>
        <s v="RSW"/>
        <s v="DEN"/>
        <s v="PLS"/>
        <s v="TPA"/>
        <s v="PUJ"/>
        <s v="ORD"/>
        <s v="AUA"/>
        <m/>
      </sharedItems>
    </cacheField>
    <cacheField name="destination" numFmtId="0">
      <sharedItems containsBlank="1"/>
    </cacheField>
    <cacheField name="fare_usd" numFmtId="0">
      <sharedItems containsString="0" containsBlank="1" containsNumber="1" containsInteger="1" minValue="52" maxValue="921"/>
    </cacheField>
    <cacheField name="deal_grade" numFmtId="0">
      <sharedItems containsString="0" containsBlank="1" containsNumber="1" minValue="3.8" maxValue="10"/>
    </cacheField>
    <cacheField name="stops" numFmtId="0">
      <sharedItems containsString="0" containsBlank="1" containsNumber="1" containsInteger="1" minValue="0" maxValue="2"/>
    </cacheField>
    <cacheField name="airline" numFmtId="0">
      <sharedItems containsBlank="1"/>
    </cacheField>
    <cacheField name="travel_dates" numFmtId="0">
      <sharedItems containsBlank="1"/>
    </cacheField>
    <cacheField name="google_typical_low_usd" numFmtId="0">
      <sharedItems containsString="0" containsBlank="1" containsNumber="1" containsInteger="1" minValue="75" maxValue="890"/>
    </cacheField>
    <cacheField name="google_typical_high_usd" numFmtId="0">
      <sharedItems containsString="0" containsBlank="1" containsNumber="1" containsInteger="1" minValue="145" maxValue="1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6">
  <r>
    <d v="2026-08-17T00:00:00"/>
    <s v="RIC"/>
    <x v="0"/>
    <s v="New York (LaGuardia)"/>
    <n v="249"/>
    <n v="4.2"/>
    <n v="0"/>
    <s v="American"/>
    <s v="Thu, Sep 17 â€“ Sun, Sep 20"/>
    <n v="185"/>
    <n v="270"/>
  </r>
  <r>
    <d v="2026-08-17T00:00:00"/>
    <s v="RIC"/>
    <x v="1"/>
    <s v="Fort Lauderdale"/>
    <n v="197"/>
    <n v="4.2"/>
    <n v="0"/>
    <s v="JetBlue"/>
    <s v="Sat, Sep 12 â€“ Mon, Sep 14"/>
    <n v="120"/>
    <n v="270"/>
  </r>
  <r>
    <d v="2026-08-17T00:00:00"/>
    <s v="RIC"/>
    <x v="2"/>
    <s v="Chicago (Midway)"/>
    <n v="237"/>
    <n v="4.2"/>
    <n v="0"/>
    <s v="Southwest"/>
    <s v="Thu, Oct 22 â€“ Mon, Oct 26"/>
    <n v="280"/>
    <n v="530"/>
  </r>
  <r>
    <d v="2026-08-17T00:00:00"/>
    <s v="RIC"/>
    <x v="3"/>
    <s v="London (Heathrow)"/>
    <n v="867"/>
    <n v="4"/>
    <n v="1"/>
    <s v="United"/>
    <s v="Sun, Oct 11 â€“ Tue, Oct 20"/>
    <n v="580"/>
    <n v="930"/>
  </r>
  <r>
    <d v="2026-08-17T00:00:00"/>
    <s v="RIC"/>
    <x v="4"/>
    <s v="Montego Bay"/>
    <n v="414"/>
    <n v="6"/>
    <n v="1"/>
    <s v="American"/>
    <s v="Mon, Nov 2 â€“ Tue, Nov 10"/>
    <n v="315"/>
    <n v="420"/>
  </r>
  <r>
    <d v="2026-08-17T00:00:00"/>
    <s v="RIC"/>
    <x v="5"/>
    <s v="London (Gatwick)"/>
    <n v="862"/>
    <n v="3.8"/>
    <n v="2"/>
    <s v="British Airways"/>
    <s v="Mon, Sep 21 â€“ Tue, Sep 29"/>
    <n v="550"/>
    <n v="1050"/>
  </r>
  <r>
    <d v="2026-08-17T00:00:00"/>
    <s v="RIC"/>
    <x v="6"/>
    <s v="New York (JFK)"/>
    <n v="249"/>
    <n v="4.2"/>
    <n v="0"/>
    <s v="Delta"/>
    <s v="Thu, Nov 5 â€“ Sun, Nov 8"/>
    <n v="200"/>
    <n v="380"/>
  </r>
  <r>
    <d v="2026-08-17T00:00:00"/>
    <s v="RIC"/>
    <x v="7"/>
    <s v="Las Vegas"/>
    <n v="218"/>
    <n v="9.1999999999999993"/>
    <n v="0"/>
    <s v="Breeze"/>
    <s v="Sun, Jan 24 â€“ Tue, Feb 2"/>
    <n v="220"/>
    <n v="390"/>
  </r>
  <r>
    <d v="2026-08-18T00:00:00"/>
    <s v="RIC"/>
    <x v="8"/>
    <s v="Boston"/>
    <n v="269"/>
    <n v="6.2"/>
    <n v="0"/>
    <s v="Delta"/>
    <s v="Thu, Oct 1 â€“ Mon, Oct 5"/>
    <n v="145"/>
    <n v="315"/>
  </r>
  <r>
    <d v="2026-08-18T00:00:00"/>
    <s v="RIC"/>
    <x v="9"/>
    <s v="Lisbon"/>
    <n v="776"/>
    <n v="4"/>
    <n v="1"/>
    <s v="Delta"/>
    <s v="Mon, Sep 28 â€“ Tue, Oct 6"/>
    <n v="890"/>
    <n v="1300"/>
  </r>
  <r>
    <d v="2026-08-19T00:00:00"/>
    <s v="RIC"/>
    <x v="10"/>
    <s v="Nashville"/>
    <n v="137"/>
    <n v="10"/>
    <n v="0"/>
    <s v="Allegiant"/>
    <s v="Thu, Nov 19 â€“ Sun, Nov 22"/>
    <n v="175"/>
    <n v="370"/>
  </r>
  <r>
    <d v="2026-08-20T00:00:00"/>
    <s v="RIC"/>
    <x v="11"/>
    <s v="Cancun"/>
    <n v="390"/>
    <n v="6"/>
    <n v="1"/>
    <s v="American"/>
    <s v="Mon, Oct 5 â€“ Wed, Oct 14"/>
    <n v="285"/>
    <n v="410"/>
  </r>
  <r>
    <d v="2026-08-20T00:00:00"/>
    <s v="RIC"/>
    <x v="12"/>
    <s v="Miami"/>
    <n v="267"/>
    <n v="4.2"/>
    <n v="0"/>
    <s v="American"/>
    <s v="Sat, Dec 5 â€“ Sat, Dec 12"/>
    <n v="150"/>
    <n v="530"/>
  </r>
  <r>
    <d v="2026-08-20T00:00:00"/>
    <s v="RIC"/>
    <x v="13"/>
    <s v="Newark"/>
    <n v="249"/>
    <n v="6.2"/>
    <n v="0"/>
    <s v="United"/>
    <s v="Thu, Dec 3 â€“ Mon, Dec 7"/>
    <n v="175"/>
    <n v="270"/>
  </r>
  <r>
    <d v="2026-08-22T00:00:00"/>
    <s v="RIC"/>
    <x v="14"/>
    <s v="Rome"/>
    <n v="852"/>
    <n v="3.8"/>
    <n v="2"/>
    <s v="Condor"/>
    <s v="Fri, Sep 11 â€“ Thu, Sep 17"/>
    <n v="770"/>
    <n v="1150"/>
  </r>
  <r>
    <d v="2026-08-22T00:00:00"/>
    <s v="RIC"/>
    <x v="15"/>
    <s v="Paris"/>
    <n v="839"/>
    <n v="4"/>
    <n v="1"/>
    <s v="United"/>
    <s v="Mon, Sep 21 â€“ Tue, Sep 29"/>
    <n v="780"/>
    <n v="1150"/>
  </r>
  <r>
    <d v="2026-08-22T00:00:00"/>
    <s v="RIC"/>
    <x v="2"/>
    <s v="Chicago (Midway)"/>
    <n v="248"/>
    <n v="4.2"/>
    <n v="0"/>
    <s v="Southwest"/>
    <s v="Sat, Sep 19 â€“ Mon, Sep 21"/>
    <n v="275"/>
    <n v="510"/>
  </r>
  <r>
    <d v="2026-08-22T00:00:00"/>
    <s v="RIC"/>
    <x v="16"/>
    <s v="Dublin"/>
    <n v="732"/>
    <n v="5.8"/>
    <n v="2"/>
    <s v="British Airways"/>
    <s v="Sun, Sep 27 â€“ Tue, Oct 6"/>
    <n v="700"/>
    <n v="950"/>
  </r>
  <r>
    <d v="2026-08-23T00:00:00"/>
    <s v="RIC"/>
    <x v="6"/>
    <s v="New York (JFK)"/>
    <n v="249"/>
    <n v="4.2"/>
    <n v="0"/>
    <s v="Delta"/>
    <s v="Thu, Sep 24 â€“ Sun, Sep 27"/>
    <n v="235"/>
    <n v="345"/>
  </r>
  <r>
    <d v="2026-08-23T00:00:00"/>
    <s v="RIC"/>
    <x v="5"/>
    <s v="London (Gatwick)"/>
    <n v="863"/>
    <n v="3.8"/>
    <n v="2"/>
    <s v="British Airways"/>
    <s v="Sun, Nov 15 â€“ Tue, Nov 24"/>
    <n v="660"/>
    <n v="1050"/>
  </r>
  <r>
    <d v="2026-08-24T00:00:00"/>
    <s v="RIC"/>
    <x v="3"/>
    <s v="London (Heathrow)"/>
    <n v="839"/>
    <n v="3.8"/>
    <n v="2"/>
    <s v="British Airways"/>
    <s v="Sat, Nov 7 â€“ Fri, Nov 13"/>
    <n v="620"/>
    <n v="1050"/>
  </r>
  <r>
    <d v="2026-08-24T00:00:00"/>
    <s v="RIC"/>
    <x v="4"/>
    <s v="Montego Bay"/>
    <n v="414"/>
    <n v="6"/>
    <n v="1"/>
    <s v="Delta"/>
    <s v="Sun, Sep 27 â€“ Tue, Oct 6"/>
    <n v="340"/>
    <n v="520"/>
  </r>
  <r>
    <d v="2026-08-24T00:00:00"/>
    <s v="RIC"/>
    <x v="1"/>
    <s v="Fort Lauderdale"/>
    <n v="219"/>
    <n v="4"/>
    <n v="1"/>
    <s v="Breeze"/>
    <s v="Thu, Nov 5 â€“ Mon, Nov 9"/>
    <n v="85"/>
    <n v="365"/>
  </r>
  <r>
    <d v="2026-08-24T00:00:00"/>
    <s v="RIC"/>
    <x v="0"/>
    <s v="New York (LaGuardia)"/>
    <n v="249"/>
    <n v="4.2"/>
    <n v="0"/>
    <s v="American"/>
    <s v="Thu, Oct 1 â€“ Sun, Oct 4"/>
    <n v="175"/>
    <n v="250"/>
  </r>
  <r>
    <d v="2026-08-25T00:00:00"/>
    <s v="RIC"/>
    <x v="8"/>
    <s v="Boston"/>
    <n v="284"/>
    <n v="6"/>
    <n v="1"/>
    <s v="Frontier"/>
    <s v="Sat, Sep 19 â€“ Mon, Sep 21"/>
    <n v="205"/>
    <n v="340"/>
  </r>
  <r>
    <d v="2026-08-25T00:00:00"/>
    <s v="RIC"/>
    <x v="7"/>
    <s v="Las Vegas"/>
    <n v="257"/>
    <n v="8"/>
    <n v="1"/>
    <s v="Frontier"/>
    <s v="Fri, Sep 25 â€“ Thu, Oct 1"/>
    <n v="280"/>
    <n v="420"/>
  </r>
  <r>
    <d v="2026-08-25T00:00:00"/>
    <s v="RIC"/>
    <x v="17"/>
    <s v="Charleston"/>
    <n v="108"/>
    <n v="10"/>
    <n v="0"/>
    <s v="Breeze"/>
    <s v="Fri, Feb 5 â€“ Mon, Feb 8"/>
    <n v="185"/>
    <n v="415"/>
  </r>
  <r>
    <d v="2026-08-25T00:00:00"/>
    <s v="RIC"/>
    <x v="9"/>
    <s v="Lisbon"/>
    <n v="715"/>
    <n v="6"/>
    <n v="1"/>
    <s v="United"/>
    <s v="Mon, Oct 26 â€“ Wed, Nov 4"/>
    <n v="680"/>
    <n v="1150"/>
  </r>
  <r>
    <d v="2026-08-26T00:00:00"/>
    <s v="RIC"/>
    <x v="10"/>
    <s v="Nashville"/>
    <n v="127"/>
    <n v="10"/>
    <n v="0"/>
    <s v="Allegiant"/>
    <s v="Thu, Oct 29 â€“ Sun, Nov 1"/>
    <n v="195"/>
    <n v="380"/>
  </r>
  <r>
    <d v="2026-08-26T00:00:00"/>
    <s v="RIC"/>
    <x v="18"/>
    <s v="Orlando"/>
    <n v="138"/>
    <n v="8.1999999999999993"/>
    <n v="0"/>
    <s v="Frontier"/>
    <s v="Mon, Dec 7 â€“ Wed, Dec 16"/>
    <n v="75"/>
    <n v="280"/>
  </r>
  <r>
    <d v="2026-08-27T00:00:00"/>
    <s v="RIC"/>
    <x v="19"/>
    <s v="Fort Myers"/>
    <n v="128"/>
    <n v="10"/>
    <n v="0"/>
    <s v="Breeze"/>
    <s v="Thu, Jan 21 â€“ Thu, Jan 28"/>
    <n v="180"/>
    <n v="365"/>
  </r>
  <r>
    <d v="2026-08-27T00:00:00"/>
    <s v="RIC"/>
    <x v="11"/>
    <s v="Cancun"/>
    <n v="390"/>
    <n v="6"/>
    <n v="1"/>
    <s v="American"/>
    <s v="Sun, Sep 27 â€“ Tue, Oct 6"/>
    <n v="315"/>
    <n v="475"/>
  </r>
  <r>
    <d v="2026-08-27T00:00:00"/>
    <s v="RIC"/>
    <x v="20"/>
    <s v="Denver"/>
    <n v="238"/>
    <n v="7"/>
    <n v="1"/>
    <s v="Frontier"/>
    <s v="Mon, Nov 2 â€“ Mon, Nov 9"/>
    <n v="210"/>
    <n v="485"/>
  </r>
  <r>
    <d v="2026-08-27T00:00:00"/>
    <s v="RIC"/>
    <x v="12"/>
    <s v="Miami"/>
    <n v="323"/>
    <n v="3.8"/>
    <n v="2"/>
    <s v="American"/>
    <s v="Sat, Jan 9 â€“ Sat, Jan 16"/>
    <n v="90"/>
    <n v="270"/>
  </r>
  <r>
    <d v="2026-08-28T00:00:00"/>
    <s v="RIC"/>
    <x v="14"/>
    <s v="Rome"/>
    <n v="778"/>
    <n v="5.8"/>
    <n v="2"/>
    <s v="United"/>
    <s v="Fri, Oct 30 â€“ Fri, Nov 6"/>
    <n v="700"/>
    <n v="1150"/>
  </r>
  <r>
    <d v="2026-08-28T00:00:00"/>
    <s v="RIC"/>
    <x v="13"/>
    <s v="Newark"/>
    <n v="200"/>
    <n v="7"/>
    <n v="1"/>
    <s v="Frontier"/>
    <s v="Thu, Sep 17 â€“ Sun, Sep 20"/>
    <n v="205"/>
    <n v="285"/>
  </r>
  <r>
    <d v="2026-08-28T00:00:00"/>
    <s v="RIC"/>
    <x v="17"/>
    <s v="Charleston"/>
    <n v="206"/>
    <n v="6.2"/>
    <n v="0"/>
    <s v="Breeze"/>
    <s v="Sat, Oct 17 â€“ Mon, Oct 19"/>
    <n v="200"/>
    <n v="400"/>
  </r>
  <r>
    <d v="2026-08-29T00:00:00"/>
    <s v="RIC"/>
    <x v="21"/>
    <s v="Providenciales"/>
    <n v="589"/>
    <n v="5.8"/>
    <n v="2"/>
    <s v="Southwest"/>
    <s v="Fri, Sep 25 â€“ Thu, Oct 1"/>
    <n v="590"/>
    <n v="710"/>
  </r>
  <r>
    <d v="2026-08-29T00:00:00"/>
    <s v="RIC"/>
    <x v="2"/>
    <s v="Chicago (Midway)"/>
    <n v="327"/>
    <n v="4"/>
    <n v="1"/>
    <s v="Frontier"/>
    <s v="Sat, Nov 21 â€“ Mon, Nov 23"/>
    <n v="270"/>
    <n v="550"/>
  </r>
  <r>
    <d v="2026-08-29T00:00:00"/>
    <s v="RIC"/>
    <x v="15"/>
    <s v="Paris"/>
    <n v="823"/>
    <n v="4"/>
    <n v="1"/>
    <s v="JetBlue"/>
    <s v="Fri, Oct 30 â€“ Thu, Nov 5"/>
    <n v="680"/>
    <n v="1050"/>
  </r>
  <r>
    <d v="2026-08-29T00:00:00"/>
    <s v="RIC"/>
    <x v="22"/>
    <s v="Tampa"/>
    <n v="148"/>
    <n v="7.2"/>
    <n v="0"/>
    <s v="Breeze"/>
    <s v="Thu, Nov 12 â€“ Wed, Nov 18"/>
    <n v="125"/>
    <n v="320"/>
  </r>
  <r>
    <d v="2026-08-29T00:00:00"/>
    <s v="RIC"/>
    <x v="23"/>
    <s v="Punta Cana"/>
    <n v="474"/>
    <n v="8"/>
    <n v="1"/>
    <s v="JetBlue"/>
    <s v="Fri, Oct 30 â€“ Thu, Nov 5"/>
    <n v="300"/>
    <n v="500"/>
  </r>
  <r>
    <d v="2026-08-29T00:00:00"/>
    <s v="RIC"/>
    <x v="16"/>
    <s v="Dublin"/>
    <n v="703"/>
    <n v="6"/>
    <n v="1"/>
    <s v="Delta"/>
    <s v="Mon, Nov 2 â€“ Tue, Nov 10"/>
    <n v="485"/>
    <n v="930"/>
  </r>
  <r>
    <d v="2026-08-30T00:00:00"/>
    <s v="RIC"/>
    <x v="17"/>
    <s v="Charleston"/>
    <n v="201"/>
    <n v="6.2"/>
    <n v="0"/>
    <s v="Breeze"/>
    <s v="Sat, Nov 14 â€“ Mon, Nov 16"/>
    <n v="175"/>
    <n v="405"/>
  </r>
  <r>
    <d v="2026-08-30T00:00:00"/>
    <s v="RIC"/>
    <x v="6"/>
    <s v="New York (JFK)"/>
    <n v="269"/>
    <n v="4.2"/>
    <n v="0"/>
    <s v="Delta"/>
    <s v="Thu, Oct 1 â€“ Sun, Oct 4"/>
    <n v="215"/>
    <n v="270"/>
  </r>
  <r>
    <d v="2026-08-30T00:00:00"/>
    <s v="RIC"/>
    <x v="5"/>
    <s v="London (Gatwick)"/>
    <n v="876"/>
    <n v="3.8"/>
    <n v="2"/>
    <s v="United"/>
    <s v="Mon, Sep 28 â€“ Mon, Oct 5"/>
    <n v="650"/>
    <n v="1100"/>
  </r>
  <r>
    <d v="2026-08-31T00:00:00"/>
    <s v="RIC"/>
    <x v="4"/>
    <s v="Montego Bay"/>
    <n v="414"/>
    <n v="6"/>
    <n v="1"/>
    <s v="American"/>
    <s v="Mon, Oct 12 â€“ Wed, Oct 21"/>
    <n v="310"/>
    <n v="445"/>
  </r>
  <r>
    <d v="2026-08-31T00:00:00"/>
    <s v="RIC"/>
    <x v="3"/>
    <s v="London (Heathrow)"/>
    <n v="880"/>
    <n v="4"/>
    <n v="1"/>
    <s v="Virgin Atlantic"/>
    <s v="Thu, Sep 24 â€“ Thu, Oct 1"/>
    <n v="710"/>
    <n v="1100"/>
  </r>
  <r>
    <d v="2026-08-31T00:00:00"/>
    <s v="RIC"/>
    <x v="0"/>
    <s v="New York (LaGuardia)"/>
    <n v="269"/>
    <n v="4.2"/>
    <n v="0"/>
    <s v="American"/>
    <s v="Thu, Nov 5 â€“ Sun, Nov 8"/>
    <n v="175"/>
    <n v="365"/>
  </r>
  <r>
    <d v="2026-09-01T00:00:00"/>
    <s v="RIC"/>
    <x v="8"/>
    <s v="Boston"/>
    <n v="312"/>
    <n v="4"/>
    <n v="1"/>
    <s v="Southwest"/>
    <s v="Thu, Nov 5 â€“ Mon, Nov 9"/>
    <n v="145"/>
    <n v="365"/>
  </r>
  <r>
    <d v="2026-09-01T00:00:00"/>
    <s v="RIC"/>
    <x v="17"/>
    <s v="Charleston"/>
    <n v="188"/>
    <n v="6.2"/>
    <n v="0"/>
    <s v="Breeze"/>
    <s v="Sat, Dec 5 â€“ Mon, Dec 7"/>
    <n v="185"/>
    <n v="425"/>
  </r>
  <r>
    <d v="2026-09-01T00:00:00"/>
    <s v="RIC"/>
    <x v="7"/>
    <s v="Las Vegas"/>
    <n v="284"/>
    <n v="7"/>
    <n v="1"/>
    <s v="Breeze"/>
    <s v="Sun, Oct 18 â€“ Tue, Oct 27"/>
    <n v="250"/>
    <n v="400"/>
  </r>
  <r>
    <d v="2026-09-01T00:00:00"/>
    <s v="RIC"/>
    <x v="24"/>
    <s v="Chicago (O'Hare)"/>
    <n v="262"/>
    <n v="4"/>
    <n v="1"/>
    <s v="Frontier"/>
    <s v="Thu, Oct 1 â€“ Mon, Oct 5"/>
    <n v="180"/>
    <n v="340"/>
  </r>
  <r>
    <d v="2026-09-01T00:00:00"/>
    <s v="RIC"/>
    <x v="2"/>
    <s v="Chicago (Midway)"/>
    <n v="321"/>
    <n v="4.2"/>
    <n v="0"/>
    <s v="Southwest"/>
    <s v="Thu, Jan 7 â€“ Mon, Jan 11"/>
    <n v="245"/>
    <n v="500"/>
  </r>
  <r>
    <d v="2026-09-01T00:00:00"/>
    <s v="RIC"/>
    <x v="1"/>
    <s v="Fort Lauderdale"/>
    <n v="179"/>
    <n v="6"/>
    <n v="1"/>
    <s v="Breeze"/>
    <s v="Thu, Oct 15 â€“ Mon, Oct 19"/>
    <n v="95"/>
    <n v="265"/>
  </r>
  <r>
    <d v="2026-09-01T00:00:00"/>
    <s v="RIC"/>
    <x v="9"/>
    <s v="Lisbon"/>
    <n v="714"/>
    <n v="6"/>
    <n v="1"/>
    <s v="United"/>
    <s v="Mon, Nov 2 â€“ Tue, Nov 10"/>
    <n v="550"/>
    <n v="970"/>
  </r>
  <r>
    <d v="2026-09-02T00:00:00"/>
    <s v="RIC"/>
    <x v="25"/>
    <s v="Aruba"/>
    <n v="385"/>
    <n v="7"/>
    <n v="1"/>
    <s v="American"/>
    <s v="Thu, Jan 7 â€“ Wed, Jan 13"/>
    <n v="260"/>
    <n v="370"/>
  </r>
  <r>
    <d v="2026-09-02T00:00:00"/>
    <s v="RIC"/>
    <x v="10"/>
    <s v="Nashville"/>
    <n v="174"/>
    <n v="7.2"/>
    <n v="0"/>
    <s v="Allegiant"/>
    <s v="Thu, Dec 10 â€“ Sun, Dec 13"/>
    <n v="175"/>
    <n v="380"/>
  </r>
  <r>
    <d v="2026-09-02T00:00:00"/>
    <s v="RIC"/>
    <x v="18"/>
    <s v="Orlando"/>
    <n v="98"/>
    <n v="10"/>
    <n v="0"/>
    <s v="Frontier"/>
    <s v="Mon, Dec 7 â€“ Wed, Dec 16"/>
    <n v="75"/>
    <n v="280"/>
  </r>
  <r>
    <d v="2026-09-03T00:00:00"/>
    <s v="RIC"/>
    <x v="19"/>
    <s v="Fort Myers"/>
    <n v="218"/>
    <n v="6.2"/>
    <n v="0"/>
    <s v="Breeze"/>
    <s v="Sun, Mar 14 â€“ Sat, Mar 20"/>
    <n v="305"/>
    <n v="580"/>
  </r>
  <r>
    <d v="2026-09-03T00:00:00"/>
    <s v="RIC"/>
    <x v="22"/>
    <s v="Tampa"/>
    <n v="133"/>
    <n v="8.1999999999999993"/>
    <n v="0"/>
    <s v="Breeze"/>
    <s v="Sat, Nov 7 â€“ Sat, Nov 14"/>
    <n v="125"/>
    <n v="320"/>
  </r>
  <r>
    <d v="2026-09-03T00:00:00"/>
    <s v="RIC"/>
    <x v="8"/>
    <s v="Boston"/>
    <n v="256"/>
    <n v="6"/>
    <n v="1"/>
    <s v="Frontier"/>
    <s v="Thu, Nov 5 â€“ Mon, Nov 9"/>
    <n v="145"/>
    <n v="365"/>
  </r>
  <r>
    <d v="2026-09-03T00:00:00"/>
    <s v="RIC"/>
    <x v="11"/>
    <s v="Cancun"/>
    <n v="398"/>
    <n v="6"/>
    <n v="1"/>
    <s v="JetBlue"/>
    <s v="Mon, Nov 16 â€“ Tue, Nov 24"/>
    <n v="290"/>
    <n v="570"/>
  </r>
  <r>
    <d v="2026-09-03T00:00:00"/>
    <s v="RIC"/>
    <x v="10"/>
    <s v="Nashville"/>
    <n v="261"/>
    <n v="4"/>
    <n v="1"/>
    <s v="JetBlue"/>
    <s v="Thu, Jan 21 â€“ Mon, Jan 25"/>
    <n v="200"/>
    <n v="345"/>
  </r>
  <r>
    <d v="2026-09-03T00:00:00"/>
    <s v="RIC"/>
    <x v="2"/>
    <s v="Chicago (Midway)"/>
    <n v="272"/>
    <n v="4"/>
    <n v="1"/>
    <s v="Frontier"/>
    <s v="Thu, Nov 19 â€“ Sun, Nov 22"/>
    <n v="270"/>
    <n v="550"/>
  </r>
  <r>
    <d v="2026-09-03T00:00:00"/>
    <s v="RIC"/>
    <x v="12"/>
    <s v="Miami"/>
    <n v="323"/>
    <n v="3.8"/>
    <n v="2"/>
    <s v="American"/>
    <s v="Sat, Oct 10 â€“ Sat, Oct 17"/>
    <n v="155"/>
    <n v="370"/>
  </r>
  <r>
    <d v="2026-09-04T00:00:00"/>
    <s v="RIC"/>
    <x v="14"/>
    <s v="Rome"/>
    <n v="725"/>
    <n v="5.8"/>
    <n v="2"/>
    <s v="British Airways"/>
    <s v="Mon, Nov 16 â€“ Wed, Nov 25"/>
    <n v="550"/>
    <n v="1200"/>
  </r>
  <r>
    <d v="2026-09-04T00:00:00"/>
    <s v="RIC"/>
    <x v="20"/>
    <s v="Denver"/>
    <n v="282"/>
    <n v="6"/>
    <n v="1"/>
    <s v="Frontier"/>
    <s v="Sat, Dec 5 â€“ Sat, Dec 12"/>
    <n v="240"/>
    <n v="580"/>
  </r>
  <r>
    <d v="2026-09-04T00:00:00"/>
    <s v="RIC"/>
    <x v="13"/>
    <s v="Newark"/>
    <n v="230"/>
    <n v="6"/>
    <n v="1"/>
    <s v="Frontier"/>
    <s v="Fri, Oct 2 â€“ Mon, Oct 5"/>
    <n v="175"/>
    <n v="270"/>
  </r>
  <r>
    <d v="2026-09-05T00:00:00"/>
    <s v="RIC"/>
    <x v="21"/>
    <s v="Providenciales"/>
    <n v="566"/>
    <n v="5.8"/>
    <n v="2"/>
    <s v="Southwest"/>
    <s v="Sat, Oct 24 â€“ Sat, Oct 31"/>
    <n v="475"/>
    <n v="690"/>
  </r>
  <r>
    <d v="2026-09-05T00:00:00"/>
    <s v="RIC"/>
    <x v="16"/>
    <s v="Dublin"/>
    <n v="698"/>
    <n v="5.8"/>
    <n v="2"/>
    <s v="British Airways"/>
    <s v="Mon, Oct 26 â€“ Tue, Nov 3"/>
    <n v="560"/>
    <n v="870"/>
  </r>
  <r>
    <d v="2026-09-05T00:00:00"/>
    <s v="RIC"/>
    <x v="15"/>
    <s v="Paris"/>
    <n v="776"/>
    <n v="5.8"/>
    <n v="2"/>
    <s v="Delta"/>
    <s v="Mon, Nov 30 â€“ Tue, Dec 8"/>
    <n v="550"/>
    <n v="1050"/>
  </r>
  <r>
    <d v="2026-09-05T00:00:00"/>
    <s v="RIC"/>
    <x v="23"/>
    <s v="Punta Cana"/>
    <n v="440"/>
    <n v="8"/>
    <n v="1"/>
    <s v="American"/>
    <s v="Sat, Dec 12 â€“ Fri, Dec 18"/>
    <n v="305"/>
    <n v="930"/>
  </r>
  <r>
    <d v="2026-09-06T00:00:00"/>
    <s v="RIC"/>
    <x v="21"/>
    <s v="Providenciales"/>
    <n v="503"/>
    <n v="6.8"/>
    <n v="2"/>
    <s v="Southwest"/>
    <s v="Sat, Oct 24 â€“ Sat, Oct 31"/>
    <n v="475"/>
    <n v="690"/>
  </r>
  <r>
    <d v="2026-09-06T00:00:00"/>
    <s v="RIC"/>
    <x v="7"/>
    <s v="Las Vegas"/>
    <n v="324"/>
    <n v="6"/>
    <n v="1"/>
    <s v="Breeze"/>
    <s v="Mon, Mar 1 â€“ Tue, Mar 9"/>
    <n v="275"/>
    <n v="520"/>
  </r>
  <r>
    <d v="2026-09-06T00:00:00"/>
    <s v="RIC"/>
    <x v="6"/>
    <s v="New York (JFK)"/>
    <n v="289"/>
    <n v="4.2"/>
    <n v="0"/>
    <s v="Delta"/>
    <s v="Thu, Nov 5 â€“ Sun, Nov 8"/>
    <n v="200"/>
    <n v="380"/>
  </r>
  <r>
    <d v="2026-09-07T00:00:00"/>
    <s v="RIC"/>
    <x v="5"/>
    <s v="London (Gatwick)"/>
    <n v="875"/>
    <n v="3.8"/>
    <n v="2"/>
    <s v="United"/>
    <s v="Mon, Oct 19 â€“ Mon, Oct 26"/>
    <n v="600"/>
    <n v="1050"/>
  </r>
  <r>
    <d v="2026-09-07T00:00:00"/>
    <s v="RIC"/>
    <x v="4"/>
    <s v="Montego Bay"/>
    <n v="402"/>
    <n v="6"/>
    <n v="1"/>
    <s v="American"/>
    <s v="Sat, Nov 7 â€“ Fri, Nov 13"/>
    <n v="315"/>
    <n v="420"/>
  </r>
  <r>
    <d v="2026-09-07T00:00:00"/>
    <s v="RIC"/>
    <x v="3"/>
    <s v="London (Heathrow)"/>
    <n v="867"/>
    <n v="4"/>
    <n v="1"/>
    <s v="United"/>
    <s v="Sun, Oct 11 â€“ Tue, Oct 20"/>
    <n v="610"/>
    <n v="980"/>
  </r>
  <r>
    <d v="2026-09-07T00:00:00"/>
    <s v="RIC"/>
    <x v="0"/>
    <s v="New York (LaGuardia)"/>
    <n v="269"/>
    <n v="4.2"/>
    <n v="0"/>
    <s v="American"/>
    <s v="Thu, Dec 3 â€“ Sun, Dec 6"/>
    <n v="175"/>
    <n v="340"/>
  </r>
  <r>
    <d v="2026-09-08T00:00:00"/>
    <s v="RIC"/>
    <x v="1"/>
    <s v="Fort Lauderdale"/>
    <n v="197"/>
    <n v="4"/>
    <n v="1"/>
    <s v="Breeze"/>
    <s v="Sat, Dec 5 â€“ Mon, Dec 7"/>
    <n v="85"/>
    <n v="265"/>
  </r>
  <r>
    <d v="2026-09-08T00:00:00"/>
    <s v="RIC"/>
    <x v="24"/>
    <s v="Chicago (O'Hare)"/>
    <n v="321"/>
    <n v="4.2"/>
    <n v="0"/>
    <s v="American"/>
    <s v="Thu, Jan 7 â€“ Mon, Jan 11"/>
    <n v="165"/>
    <n v="375"/>
  </r>
  <r>
    <d v="2026-09-08T00:00:00"/>
    <s v="RIC"/>
    <x v="17"/>
    <s v="Charleston"/>
    <n v="98"/>
    <n v="10"/>
    <n v="0"/>
    <s v="Breeze"/>
    <s v="Fri, Jan 15 â€“ Fri, Jan 22"/>
    <n v="160"/>
    <n v="300"/>
  </r>
  <r>
    <d v="2026-09-08T00:00:00"/>
    <s v="RIC"/>
    <x v="9"/>
    <s v="Lisbon"/>
    <n v="714"/>
    <n v="6"/>
    <n v="1"/>
    <s v="United"/>
    <s v="Sun, Dec 6 â€“ Tue, Dec 15"/>
    <n v="540"/>
    <n v="1750"/>
  </r>
  <r>
    <d v="2026-09-08T00:00:00"/>
    <s v="RIC"/>
    <x v="3"/>
    <s v="London (Heathrow)"/>
    <n v="755"/>
    <n v="6"/>
    <n v="1"/>
    <s v="American"/>
    <s v="Mon, Mar 15 â€“ Tue, Mar 23"/>
    <n v="650"/>
    <n v="1100"/>
  </r>
  <r>
    <d v="2026-09-08T00:00:00"/>
    <s v="RIC"/>
    <x v="14"/>
    <s v="Rome"/>
    <n v="580"/>
    <n v="7.8"/>
    <n v="2"/>
    <s v="British Airways"/>
    <s v="Sun, Mar 7 â€“ Tue, Mar 16"/>
    <n v="680"/>
    <n v="1350"/>
  </r>
  <r>
    <d v="2026-09-08T00:00:00"/>
    <s v="RIC"/>
    <x v="5"/>
    <s v="London (Gatwick)"/>
    <n v="712"/>
    <n v="5.8"/>
    <n v="2"/>
    <s v="British Airways"/>
    <s v="Mon, Oct 12 â€“ Tue, Oct 20"/>
    <n v="620"/>
    <n v="1050"/>
  </r>
  <r>
    <d v="2026-09-08T00:00:00"/>
    <s v="RIC"/>
    <x v="15"/>
    <s v="Paris"/>
    <n v="644"/>
    <n v="6.8"/>
    <n v="2"/>
    <s v="British Airways"/>
    <s v="Mon, Feb 1 â€“ Tue, Feb 9"/>
    <n v="550"/>
    <n v="820"/>
  </r>
  <r>
    <d v="2026-09-09T00:00:00"/>
    <s v="RIC"/>
    <x v="25"/>
    <s v="Aruba"/>
    <n v="398"/>
    <n v="7"/>
    <n v="1"/>
    <s v="Delta"/>
    <s v="Mon, Feb 22 â€“ Mon, Mar 1"/>
    <n v="285"/>
    <n v="415"/>
  </r>
  <r>
    <d v="2026-09-09T00:00:00"/>
    <s v="RIC"/>
    <x v="16"/>
    <s v="Dublin"/>
    <n v="548"/>
    <n v="7.8"/>
    <n v="2"/>
    <s v="British Airways"/>
    <s v="Mon, Oct 26 â€“ Tue, Nov 3"/>
    <n v="560"/>
    <n v="870"/>
  </r>
  <r>
    <d v="2026-09-09T00:00:00"/>
    <s v="RIC"/>
    <x v="3"/>
    <s v="London (Heathrow)"/>
    <n v="746"/>
    <n v="6"/>
    <n v="1"/>
    <s v="American"/>
    <s v="Sun, Oct 11 â€“ Tue, Oct 20"/>
    <n v="610"/>
    <n v="980"/>
  </r>
  <r>
    <d v="2026-09-10T00:00:00"/>
    <s v="RIC"/>
    <x v="19"/>
    <s v="Fort Myers"/>
    <n v="163"/>
    <n v="8.1999999999999993"/>
    <n v="0"/>
    <s v="Breeze"/>
    <s v="Sun, Feb 7 â€“ Sat, Feb 13"/>
    <n v="210"/>
    <n v="435"/>
  </r>
  <r>
    <d v="2026-09-10T00:00:00"/>
    <s v="RIC"/>
    <x v="22"/>
    <s v="Tampa"/>
    <n v="148"/>
    <n v="7"/>
    <n v="1"/>
    <s v="Southwest"/>
    <s v="Sat, Oct 24 â€“ Sun, Nov 1"/>
    <n v="120"/>
    <n v="230"/>
  </r>
  <r>
    <d v="2026-09-10T00:00:00"/>
    <s v="RIC"/>
    <x v="8"/>
    <s v="Boston"/>
    <n v="315"/>
    <n v="4"/>
    <n v="1"/>
    <s v="Frontier"/>
    <s v="Sat, Oct 3 â€“ Mon, Oct 5"/>
    <n v="170"/>
    <n v="355"/>
  </r>
  <r>
    <d v="2026-09-10T00:00:00"/>
    <s v="RIC"/>
    <x v="11"/>
    <s v="Cancun"/>
    <n v="392"/>
    <n v="6"/>
    <n v="1"/>
    <s v="United"/>
    <s v="Mon, Oct 5 â€“ Wed, Oct 14"/>
    <n v="290"/>
    <n v="430"/>
  </r>
  <r>
    <d v="2026-09-10T00:00:00"/>
    <s v="RIC"/>
    <x v="9"/>
    <s v="Lisbon"/>
    <n v="577"/>
    <n v="7"/>
    <n v="1"/>
    <s v="Delta"/>
    <s v="Mon, Oct 26 â€“ Tue, Nov 3"/>
    <n v="700"/>
    <n v="1150"/>
  </r>
  <r>
    <d v="2026-09-10T00:00:00"/>
    <s v="RIC"/>
    <x v="15"/>
    <s v="Paris"/>
    <n v="640"/>
    <n v="6.8"/>
    <n v="2"/>
    <s v="British Airways"/>
    <s v="Mon, Nov 2 â€“ Tue, Nov 10"/>
    <n v="550"/>
    <n v="1050"/>
  </r>
  <r>
    <d v="2026-09-10T00:00:00"/>
    <s v="RIC"/>
    <x v="21"/>
    <s v="Providenciales"/>
    <n v="505"/>
    <n v="7"/>
    <n v="1"/>
    <s v="Southwest"/>
    <s v="Mon, Mar 1 â€“ Sun, Mar 7"/>
    <n v="380"/>
    <n v="780"/>
  </r>
  <r>
    <d v="2026-09-10T00:00:00"/>
    <s v="RIC"/>
    <x v="14"/>
    <s v="Rome"/>
    <n v="575"/>
    <n v="7.8"/>
    <n v="2"/>
    <s v="British Airways"/>
    <s v="Sun, Nov 8 â€“ Tue, Nov 17"/>
    <n v="550"/>
    <n v="1200"/>
  </r>
  <r>
    <d v="2026-09-10T00:00:00"/>
    <s v="RIC"/>
    <x v="12"/>
    <s v="Miami"/>
    <n v="317"/>
    <n v="4.2"/>
    <n v="0"/>
    <s v="American"/>
    <s v="Sat, Nov 7 â€“ Sat, Nov 14"/>
    <n v="170"/>
    <n v="395"/>
  </r>
  <r>
    <d v="2026-09-10T00:00:00"/>
    <s v="RIC"/>
    <x v="2"/>
    <s v="Chicago (Midway)"/>
    <n v="321"/>
    <n v="4.2"/>
    <n v="0"/>
    <s v="Southwest"/>
    <s v="Thu, Oct 1 â€“ Mon, Oct 5"/>
    <n v="285"/>
    <n v="520"/>
  </r>
  <r>
    <d v="2026-09-10T00:00:00"/>
    <s v="RIC"/>
    <x v="10"/>
    <s v="Nashville"/>
    <n v="156"/>
    <n v="8.1999999999999993"/>
    <n v="0"/>
    <s v="Allegiant"/>
    <s v="Thu, Nov 19 â€“ Sun, Nov 22"/>
    <n v="175"/>
    <n v="370"/>
  </r>
  <r>
    <d v="2026-09-11T00:00:00"/>
    <s v="RIC"/>
    <x v="20"/>
    <s v="Denver"/>
    <n v="282"/>
    <n v="6"/>
    <n v="1"/>
    <s v="Frontier"/>
    <s v="Thu, Oct 22 â€“ Wed, Oct 28"/>
    <n v="250"/>
    <n v="470"/>
  </r>
  <r>
    <d v="2026-09-11T00:00:00"/>
    <s v="RIC"/>
    <x v="13"/>
    <s v="Newark"/>
    <n v="269"/>
    <n v="4.2"/>
    <n v="0"/>
    <s v="United"/>
    <s v="Thu, Nov 5 â€“ Sun, Nov 8"/>
    <n v="175"/>
    <n v="300"/>
  </r>
  <r>
    <d v="2026-09-13T00:00:00"/>
    <s v="RIC"/>
    <x v="23"/>
    <s v="Punta Cana"/>
    <n v="460"/>
    <n v="8"/>
    <n v="1"/>
    <s v="American"/>
    <s v="Sat, Nov 14 â€“ Fri, Nov 20"/>
    <n v="305"/>
    <n v="580"/>
  </r>
  <r>
    <d v="2026-09-14T00:00:00"/>
    <s v="RIC"/>
    <x v="18"/>
    <s v="Orlando"/>
    <n v="183"/>
    <n v="6"/>
    <n v="1"/>
    <s v="Southwest"/>
    <s v="Sat, Feb 6 â€“ Sat, Feb 13"/>
    <n v="90"/>
    <n v="195"/>
  </r>
  <r>
    <d v="2026-09-14T00:00:00"/>
    <s v="RIC"/>
    <x v="2"/>
    <s v="Chicago (Midway)"/>
    <n v="298"/>
    <n v="4.2"/>
    <n v="0"/>
    <s v="Southwest"/>
    <s v="Sat, Feb 6 â€“ Mon, Feb 8"/>
    <n v="245"/>
    <n v="445"/>
  </r>
  <r>
    <d v="2026-09-14T00:00:00"/>
    <s v="RIC"/>
    <x v="8"/>
    <s v="Boston"/>
    <n v="295"/>
    <n v="4"/>
    <n v="1"/>
    <s v="Southwest"/>
    <s v="Thu, Feb 4 â€“ Sun, Feb 7"/>
    <n v="130"/>
    <n v="320"/>
  </r>
  <r>
    <d v="2026-09-14T00:00:00"/>
    <s v="RIC"/>
    <x v="12"/>
    <s v="Miami"/>
    <n v="291"/>
    <n v="4"/>
    <n v="1"/>
    <s v="Southwest"/>
    <s v="Sat, Oct 24 â€“ Sat, Oct 31"/>
    <n v="165"/>
    <n v="400"/>
  </r>
  <r>
    <d v="2026-09-14T00:00:00"/>
    <s v="RIC"/>
    <x v="20"/>
    <s v="Denver"/>
    <n v="320"/>
    <n v="4"/>
    <n v="1"/>
    <s v="Southwest"/>
    <s v="Thu, Jan 7 â€“ Wed, Jan 13"/>
    <n v="225"/>
    <n v="450"/>
  </r>
  <r>
    <d v="2026-09-14T00:00:00"/>
    <s v="RIC"/>
    <x v="7"/>
    <s v="Las Vegas"/>
    <n v="208"/>
    <n v="10"/>
    <n v="0"/>
    <s v="Breeze"/>
    <s v="Sun, Jan 24 â€“ Tue, Feb 2"/>
    <n v="220"/>
    <n v="390"/>
  </r>
  <r>
    <d v="2026-09-14T00:00:00"/>
    <s v="RIC"/>
    <x v="6"/>
    <s v="New York (JFK)"/>
    <n v="289"/>
    <n v="4.2"/>
    <n v="0"/>
    <s v="Delta"/>
    <s v="Thu, Dec 3 â€“ Sun, Dec 6"/>
    <n v="200"/>
    <n v="410"/>
  </r>
  <r>
    <d v="2026-09-14T00:00:00"/>
    <s v="RIC"/>
    <x v="4"/>
    <s v="Montego Bay"/>
    <n v="354"/>
    <n v="7"/>
    <n v="1"/>
    <s v="American"/>
    <s v="Mon, Oct 26 â€“ Tue, Nov 3"/>
    <n v="310"/>
    <n v="470"/>
  </r>
  <r>
    <d v="2026-09-14T00:00:00"/>
    <s v="RIC"/>
    <x v="11"/>
    <s v="Cancun"/>
    <n v="350"/>
    <n v="6"/>
    <n v="1"/>
    <s v="American"/>
    <s v="Mon, Nov 30 â€“ Tue, Dec 8"/>
    <n v="295"/>
    <n v="580"/>
  </r>
  <r>
    <d v="2026-09-14T00:00:00"/>
    <s v="RIC"/>
    <x v="1"/>
    <s v="Fort Lauderdale"/>
    <n v="201"/>
    <n v="4"/>
    <n v="1"/>
    <s v="American"/>
    <s v="Thu, Feb 4 â€“ Sun, Feb 7"/>
    <n v="100"/>
    <n v="265"/>
  </r>
  <r>
    <d v="2026-09-14T00:00:00"/>
    <s v="RIC"/>
    <x v="24"/>
    <s v="Chicago (O'Hare)"/>
    <n v="279"/>
    <n v="4.2"/>
    <n v="0"/>
    <s v="American"/>
    <s v="Sat, Feb 6 â€“ Mon, Feb 8"/>
    <n v="200"/>
    <n v="355"/>
  </r>
  <r>
    <d v="2026-09-15T00:00:00"/>
    <s v="RIC"/>
    <x v="0"/>
    <s v="New York (LaGuardia)"/>
    <n v="289"/>
    <n v="4.2"/>
    <n v="0"/>
    <s v="American"/>
    <s v="Thu, Oct 15 â€“ Mon, Oct 19"/>
    <n v="175"/>
    <n v="270"/>
  </r>
  <r>
    <d v="2026-09-15T00:00:00"/>
    <s v="RIC"/>
    <x v="17"/>
    <s v="Charleston"/>
    <n v="98"/>
    <n v="10"/>
    <n v="0"/>
    <s v="Breeze"/>
    <s v="Mon, Feb 1 â€“ Mon, Feb 8"/>
    <n v="170"/>
    <n v="320"/>
  </r>
  <r>
    <d v="2026-09-15T00:00:00"/>
    <s v="RIC"/>
    <x v="12"/>
    <s v="Miami"/>
    <n v="247"/>
    <n v="6"/>
    <n v="1"/>
    <s v="Southwest"/>
    <s v="Sat, Oct 3 â€“ Sat, Oct 10"/>
    <n v="170"/>
    <n v="420"/>
  </r>
  <r>
    <d v="2026-09-15T00:00:00"/>
    <s v="RIC"/>
    <x v="18"/>
    <s v="Orlando"/>
    <n v="145"/>
    <n v="8"/>
    <n v="1"/>
    <s v="Southwest"/>
    <s v="Sat, Feb 20 â€“ Sat, Feb 27"/>
    <n v="90"/>
    <n v="195"/>
  </r>
  <r>
    <d v="2026-09-15T00:00:00"/>
    <s v="RIC"/>
    <x v="2"/>
    <s v="Chicago (Midway)"/>
    <n v="278"/>
    <n v="4.2"/>
    <n v="0"/>
    <s v="Southwest"/>
    <s v="Sat, Jan 23 â€“ Mon, Jan 25"/>
    <n v="245"/>
    <n v="500"/>
  </r>
  <r>
    <d v="2026-09-16T00:00:00"/>
    <s v="RIC"/>
    <x v="20"/>
    <s v="Denver"/>
    <n v="254"/>
    <n v="7"/>
    <n v="1"/>
    <s v="Frontier"/>
    <s v="Sat, Oct 24 â€“ Sat, Oct 31"/>
    <n v="265"/>
    <n v="475"/>
  </r>
  <r>
    <d v="2026-09-16T00:00:00"/>
    <s v="RIC"/>
    <x v="25"/>
    <s v="Aruba"/>
    <n v="407"/>
    <n v="7"/>
    <n v="1"/>
    <s v="JetBlue"/>
    <s v="Sun, Oct 25 â€“ Tue, Nov 3"/>
    <n v="360"/>
    <n v="520"/>
  </r>
  <r>
    <d v="2026-09-16T00:00:00"/>
    <s v="RIC"/>
    <x v="5"/>
    <s v="London (Gatwick)"/>
    <n v="712"/>
    <n v="5.8"/>
    <n v="2"/>
    <s v="British Airways"/>
    <s v="Mon, Dec 7 â€“ Tue, Dec 15"/>
    <n v="730"/>
    <n v="1700"/>
  </r>
  <r>
    <d v="2026-09-17T00:00:00"/>
    <s v="RIC"/>
    <x v="16"/>
    <s v="Dublin"/>
    <n v="556"/>
    <n v="7"/>
    <n v="1"/>
    <s v="Delta"/>
    <s v="Sun, Dec 6 â€“ Tue, Dec 15"/>
    <n v="480"/>
    <n v="1450"/>
  </r>
  <r>
    <d v="2026-09-20T00:00:00"/>
    <s v="RIC"/>
    <x v="13"/>
    <s v="Newark"/>
    <n v="245"/>
    <n v="6"/>
    <n v="1"/>
    <s v="Frontier"/>
    <s v="Fri, Dec 4 â€“ Sun, Dec 6"/>
    <n v="175"/>
    <n v="270"/>
  </r>
  <r>
    <d v="2026-09-20T00:00:00"/>
    <s v="RIC"/>
    <x v="23"/>
    <s v="Punta Cana"/>
    <n v="460"/>
    <n v="8"/>
    <n v="1"/>
    <s v="American"/>
    <s v="Sat, Oct 31 â€“ Fri, Nov 6"/>
    <n v="305"/>
    <n v="560"/>
  </r>
  <r>
    <d v="2026-09-21T00:00:00"/>
    <s v="RIC"/>
    <x v="7"/>
    <s v="Las Vegas"/>
    <n v="258"/>
    <n v="8"/>
    <n v="1"/>
    <s v="Breeze"/>
    <s v="Thu, Nov 26 â€“ Thu, Dec 3"/>
    <n v="260"/>
    <n v="450"/>
  </r>
  <r>
    <d v="2026-09-21T00:00:00"/>
    <s v="RIC"/>
    <x v="18"/>
    <s v="Orlando"/>
    <n v="124"/>
    <n v="9.1999999999999993"/>
    <n v="0"/>
    <s v="Frontier"/>
    <s v="Mon, Nov 23 â€“ Wed, Dec 2"/>
    <n v="100"/>
    <n v="250"/>
  </r>
  <r>
    <d v="2026-09-21T00:00:00"/>
    <s v="RIC"/>
    <x v="6"/>
    <s v="New York (JFK)"/>
    <n v="289"/>
    <n v="4.2"/>
    <n v="0"/>
    <s v="Delta"/>
    <s v="Thu, Oct 22 â€“ Sun, Oct 25"/>
    <n v="215"/>
    <n v="340"/>
  </r>
  <r>
    <d v="2026-09-21T00:00:00"/>
    <s v="RIC"/>
    <x v="8"/>
    <s v="Boston"/>
    <n v="287"/>
    <n v="6"/>
    <n v="1"/>
    <s v="Frontier"/>
    <s v="Thu, Dec 3 â€“ Mon, Dec 7"/>
    <n v="135"/>
    <n v="310"/>
  </r>
  <r>
    <d v="2026-09-21T00:00:00"/>
    <s v="RIC"/>
    <x v="2"/>
    <s v="Chicago (Midway)"/>
    <n v="277"/>
    <n v="4"/>
    <n v="1"/>
    <s v="Frontier"/>
    <s v="Fri, Jan 8 â€“ Mon, Jan 11"/>
    <n v="245"/>
    <n v="500"/>
  </r>
  <r>
    <d v="2026-09-21T00:00:00"/>
    <s v="RIC"/>
    <x v="1"/>
    <s v="Fort Lauderdale"/>
    <n v="244"/>
    <n v="4"/>
    <n v="1"/>
    <s v="Breeze"/>
    <s v="Sat, Oct 17 â€“ Mon, Oct 19"/>
    <n v="135"/>
    <n v="320"/>
  </r>
  <r>
    <d v="2026-09-22T00:00:00"/>
    <s v="RIC"/>
    <x v="0"/>
    <s v="New York (LaGuardia)"/>
    <n v="289"/>
    <n v="4.2"/>
    <n v="0"/>
    <s v="American"/>
    <s v="Thu, Nov 5 â€“ Sun, Nov 8"/>
    <n v="175"/>
    <n v="365"/>
  </r>
  <r>
    <d v="2026-09-22T00:00:00"/>
    <s v="RIC"/>
    <x v="4"/>
    <s v="Montego Bay"/>
    <n v="422"/>
    <n v="4"/>
    <n v="1"/>
    <s v="American"/>
    <s v="Sat, Dec 12 â€“ Fri, Dec 18"/>
    <n v="315"/>
    <n v="620"/>
  </r>
  <r>
    <d v="2026-09-22T00:00:00"/>
    <s v="RIC"/>
    <x v="11"/>
    <s v="Cancun"/>
    <n v="373"/>
    <n v="6"/>
    <n v="1"/>
    <s v="Delta"/>
    <s v="Thu, Dec 31 â€“ Fri, Jan 8"/>
    <n v="305"/>
    <n v="800"/>
  </r>
  <r>
    <d v="2026-09-22T00:00:00"/>
    <s v="RIC"/>
    <x v="17"/>
    <s v="Charleston"/>
    <n v="123"/>
    <n v="10"/>
    <n v="0"/>
    <s v="Breeze"/>
    <s v="Mon, Mar 1 â€“ Mon, Mar 8"/>
    <n v="235"/>
    <n v="510"/>
  </r>
  <r>
    <d v="2026-09-22T00:00:00"/>
    <s v="RIC"/>
    <x v="24"/>
    <s v="Chicago (O'Hare)"/>
    <n v="284"/>
    <n v="4"/>
    <n v="1"/>
    <s v="Frontier"/>
    <s v="Thu, Oct 22 â€“ Mon, Oct 26"/>
    <n v="225"/>
    <n v="390"/>
  </r>
  <r>
    <d v="2026-09-23T00:00:00"/>
    <s v="RIC"/>
    <x v="12"/>
    <s v="Miami"/>
    <n v="307"/>
    <n v="4"/>
    <n v="1"/>
    <s v="Southwest"/>
    <s v="Mon, Mar 1 â€“ Tue, Mar 9"/>
    <n v="220"/>
    <n v="510"/>
  </r>
  <r>
    <d v="2026-09-23T00:00:00"/>
    <s v="RIC"/>
    <x v="25"/>
    <s v="Aruba"/>
    <n v="376"/>
    <n v="8"/>
    <n v="1"/>
    <s v="JetBlue"/>
    <s v="Mon, Nov 9 â€“ Wed, Nov 18"/>
    <n v="340"/>
    <n v="680"/>
  </r>
  <r>
    <d v="2026-09-24T00:00:00"/>
    <s v="RIC"/>
    <x v="16"/>
    <s v="Dublin"/>
    <n v="554"/>
    <n v="7.8"/>
    <n v="2"/>
    <s v="British Airways"/>
    <s v="Mon, Jan 11 â€“ Tue, Jan 19"/>
    <n v="470"/>
    <n v="690"/>
  </r>
  <r>
    <d v="2026-09-24T00:00:00"/>
    <s v="RIC"/>
    <x v="5"/>
    <s v="London (Gatwick)"/>
    <n v="719"/>
    <n v="5.8"/>
    <n v="2"/>
    <s v="British Airways"/>
    <s v="Sun, Jan 10 â€“ Tue, Jan 19"/>
    <n v="610"/>
    <n v="1050"/>
  </r>
  <r>
    <d v="2026-09-24T00:00:00"/>
    <s v="RIC"/>
    <x v="10"/>
    <s v="Nashville"/>
    <n v="187"/>
    <n v="7.2"/>
    <n v="0"/>
    <s v="Allegiant"/>
    <s v="Thu, Oct 29 â€“ Sun, Nov 1"/>
    <n v="215"/>
    <n v="400"/>
  </r>
  <r>
    <d v="2026-09-24T00:00:00"/>
    <s v="RIC"/>
    <x v="22"/>
    <s v="Tampa"/>
    <n v="138"/>
    <n v="8.1999999999999993"/>
    <n v="0"/>
    <s v="Breeze"/>
    <s v="Sat, Nov 7 â€“ Sat, Nov 14"/>
    <n v="130"/>
    <n v="320"/>
  </r>
  <r>
    <d v="2026-09-24T00:00:00"/>
    <s v="RIC"/>
    <x v="15"/>
    <s v="Paris"/>
    <n v="780"/>
    <n v="6"/>
    <n v="1"/>
    <s v="United"/>
    <s v="Sun, Jan 10 â€“ Tue, Jan 19"/>
    <n v="550"/>
    <n v="850"/>
  </r>
  <r>
    <d v="2026-09-25T00:00:00"/>
    <s v="RIC"/>
    <x v="21"/>
    <s v="Providenciales"/>
    <n v="569"/>
    <n v="5.8"/>
    <n v="2"/>
    <s v="Southwest"/>
    <s v="Mon, Dec 14 â€“ Sun, Dec 20"/>
    <n v="360"/>
    <n v="890"/>
  </r>
  <r>
    <d v="2026-09-25T00:00:00"/>
    <s v="RIC"/>
    <x v="3"/>
    <s v="London (Heathrow)"/>
    <n v="804"/>
    <n v="3.8"/>
    <n v="2"/>
    <s v="British Airways"/>
    <s v="Sun, Jan 17 â€“ Sat, Jan 23"/>
    <n v="620"/>
    <n v="870"/>
  </r>
  <r>
    <d v="2026-09-25T00:00:00"/>
    <s v="RIC"/>
    <x v="17"/>
    <s v="Charleston"/>
    <n v="98"/>
    <n v="10"/>
    <n v="0"/>
    <s v="Breeze"/>
    <s v="Sat, Dec 5 â€“ Sat, Dec 12"/>
    <n v="180"/>
    <n v="390"/>
  </r>
  <r>
    <d v="2026-09-25T00:00:00"/>
    <s v="RIC"/>
    <x v="14"/>
    <s v="Rome"/>
    <n v="729"/>
    <n v="6"/>
    <n v="1"/>
    <s v="United"/>
    <s v="Mon, Jan 18 â€“ Tue, Jan 26"/>
    <n v="500"/>
    <n v="960"/>
  </r>
  <r>
    <d v="2026-09-25T00:00:00"/>
    <s v="RIC"/>
    <x v="22"/>
    <s v="Tampa"/>
    <n v="103"/>
    <n v="10"/>
    <n v="0"/>
    <s v="Breeze"/>
    <s v="Sun, Dec 6 â€“ Tue, Dec 15"/>
    <n v="125"/>
    <n v="420"/>
  </r>
  <r>
    <d v="2026-09-25T00:00:00"/>
    <s v="RIC"/>
    <x v="25"/>
    <s v="Aruba"/>
    <n v="355"/>
    <n v="8"/>
    <n v="1"/>
    <s v="American"/>
    <s v="Mon, Oct 26 â€“ Tue, Nov 3"/>
    <n v="385"/>
    <n v="550"/>
  </r>
  <r>
    <d v="2026-09-25T00:00:00"/>
    <s v="RIC"/>
    <x v="9"/>
    <s v="Lisbon"/>
    <n v="718"/>
    <n v="6"/>
    <n v="1"/>
    <s v="United"/>
    <s v="Sun, Jan 10 â€“ Tue, Jan 19"/>
    <n v="490"/>
    <n v="720"/>
  </r>
  <r>
    <d v="2026-09-25T00:00:00"/>
    <s v="RIC"/>
    <x v="20"/>
    <s v="Denver"/>
    <n v="298"/>
    <n v="6"/>
    <n v="1"/>
    <s v="Frontier"/>
    <s v="Thu, Nov 5 â€“ Wed, Nov 11"/>
    <n v="230"/>
    <n v="490"/>
  </r>
  <r>
    <d v="2026-09-25T00:00:00"/>
    <s v="RIC"/>
    <x v="18"/>
    <s v="Orlando"/>
    <n v="124"/>
    <n v="9.1999999999999993"/>
    <n v="0"/>
    <s v="Frontier"/>
    <s v="Sat, Jan 2 â€“ Fri, Jan 8"/>
    <n v="75"/>
    <n v="145"/>
  </r>
  <r>
    <d v="2026-09-26T00:00:00"/>
    <s v="RIC"/>
    <x v="19"/>
    <s v="Fort Myers"/>
    <n v="208"/>
    <n v="6.2"/>
    <n v="0"/>
    <s v="Breeze"/>
    <s v="Sun, Mar 14 â€“ Sat, Mar 20"/>
    <n v="305"/>
    <n v="580"/>
  </r>
  <r>
    <d v="2026-09-26T00:00:00"/>
    <s v="RIC"/>
    <x v="1"/>
    <s v="Fort Lauderdale"/>
    <n v="212"/>
    <n v="4"/>
    <n v="1"/>
    <s v="Breeze"/>
    <s v="Sat, Oct 17 â€“ Mon, Oct 19"/>
    <n v="135"/>
    <n v="325"/>
  </r>
  <r>
    <d v="2026-09-26T00:00:00"/>
    <s v="RIC"/>
    <x v="13"/>
    <s v="Newark"/>
    <n v="289"/>
    <n v="4.2"/>
    <n v="0"/>
    <s v="United"/>
    <s v="Sat, Oct 17 â€“ Sun, Oct 18"/>
    <n v="195"/>
    <n v="300"/>
  </r>
  <r>
    <d v="2026-09-27T00:00:00"/>
    <s v="RIC"/>
    <x v="23"/>
    <s v="Punta Cana"/>
    <n v="460"/>
    <n v="8"/>
    <n v="1"/>
    <s v="American"/>
    <s v="Sat, Dec 5 â€“ Fri, Dec 11"/>
    <n v="305"/>
    <n v="930"/>
  </r>
  <r>
    <d v="2026-09-28T00:00:00"/>
    <s v="RIC"/>
    <x v="6"/>
    <s v="New York (JFK)"/>
    <n v="309"/>
    <n v="4.2"/>
    <n v="0"/>
    <s v="Delta"/>
    <s v="Thu, Nov 5 â€“ Sun, Nov 8"/>
    <n v="215"/>
    <n v="380"/>
  </r>
  <r>
    <d v="2026-09-28T00:00:00"/>
    <s v="RIC"/>
    <x v="8"/>
    <s v="Boston"/>
    <n v="301"/>
    <n v="4"/>
    <n v="1"/>
    <s v="Frontier"/>
    <s v="Thu, Nov 5 â€“ Mon, Nov 9"/>
    <n v="145"/>
    <n v="390"/>
  </r>
  <r>
    <d v="2026-09-28T00:00:00"/>
    <s v="RIC"/>
    <x v="7"/>
    <s v="Las Vegas"/>
    <n v="245"/>
    <n v="8"/>
    <n v="1"/>
    <s v="Breeze"/>
    <s v="Sun, Oct 18 â€“ Tue, Oct 27"/>
    <n v="295"/>
    <n v="435"/>
  </r>
  <r>
    <d v="2026-09-28T00:00:00"/>
    <s v="RIC"/>
    <x v="2"/>
    <s v="Chicago (Midway)"/>
    <n v="297"/>
    <n v="4.2"/>
    <n v="0"/>
    <s v="Southwest"/>
    <s v="Thu, Nov 12 â€“ Mon, Nov 16"/>
    <n v="280"/>
    <n v="550"/>
  </r>
  <r>
    <d v="2026-09-29T00:00:00"/>
    <s v="RIC"/>
    <x v="0"/>
    <s v="New York (LaGuardia)"/>
    <n v="309"/>
    <n v="4.2"/>
    <n v="0"/>
    <s v="American"/>
    <s v="Thu, Dec 3 â€“ Sun, Dec 6"/>
    <n v="175"/>
    <n v="340"/>
  </r>
  <r>
    <d v="2026-09-29T00:00:00"/>
    <s v="RIC"/>
    <x v="18"/>
    <s v="Orlando"/>
    <n v="128"/>
    <n v="9.1999999999999993"/>
    <n v="0"/>
    <s v="Frontier"/>
    <s v="Mon, Oct 5 â€“ Sun, Oct 11"/>
    <n v="140"/>
    <n v="250"/>
  </r>
  <r>
    <d v="2026-09-29T00:00:00"/>
    <s v="RIC"/>
    <x v="11"/>
    <s v="Cancun"/>
    <n v="334"/>
    <n v="7"/>
    <n v="1"/>
    <s v="Breeze"/>
    <s v="Mon, Jan 25 â€“ Mon, Feb 1"/>
    <n v="290"/>
    <n v="415"/>
  </r>
  <r>
    <d v="2026-09-29T00:00:00"/>
    <s v="RIC"/>
    <x v="25"/>
    <s v="Aruba"/>
    <n v="329"/>
    <n v="9"/>
    <n v="1"/>
    <s v="American"/>
    <s v="Mon, Jan 11 â€“ Wed, Jan 20"/>
    <n v="260"/>
    <n v="370"/>
  </r>
  <r>
    <d v="2026-09-29T00:00:00"/>
    <s v="RIC"/>
    <x v="4"/>
    <s v="Montego Bay"/>
    <n v="428"/>
    <n v="3.8"/>
    <n v="2"/>
    <s v="American"/>
    <s v="Sat, Jan 30 â€“ Fri, Feb 5"/>
    <n v="300"/>
    <n v="325"/>
  </r>
  <r>
    <d v="2026-09-30T00:00:00"/>
    <s v="RIC"/>
    <x v="24"/>
    <s v="Chicago (O'Hare)"/>
    <n v="249"/>
    <n v="4"/>
    <n v="1"/>
    <s v="Frontier"/>
    <s v="Sat, Nov 21 â€“ Mon, Nov 23"/>
    <n v="190"/>
    <n v="390"/>
  </r>
  <r>
    <d v="2026-09-30T00:00:00"/>
    <s v="RIC"/>
    <x v="12"/>
    <s v="Miami"/>
    <n v="303"/>
    <n v="3.8"/>
    <n v="2"/>
    <s v="American"/>
    <s v="Sat, Dec 5 â€“ Sat, Dec 12"/>
    <n v="150"/>
    <n v="530"/>
  </r>
  <r>
    <d v="2026-09-30T00:00:00"/>
    <s v="RIC"/>
    <x v="25"/>
    <s v="Aruba"/>
    <n v="329"/>
    <n v="9"/>
    <n v="1"/>
    <s v="American"/>
    <s v="Mon, Nov 16 â€“ Tue, Nov 24"/>
    <n v="345"/>
    <n v="700"/>
  </r>
  <r>
    <d v="2026-09-30T00:00:00"/>
    <s v="RIC"/>
    <x v="10"/>
    <s v="Nashville"/>
    <n v="167"/>
    <n v="8.1999999999999993"/>
    <n v="0"/>
    <s v="Allegiant"/>
    <s v="Thu, Oct 29 â€“ Sun, Nov 1"/>
    <n v="225"/>
    <n v="405"/>
  </r>
  <r>
    <d v="2026-10-01T00:00:00"/>
    <s v="RIC"/>
    <x v="20"/>
    <s v="Denver"/>
    <n v="267"/>
    <n v="6"/>
    <n v="1"/>
    <s v="Frontier"/>
    <s v="Thu, Nov 5 â€“ Wed, Nov 11"/>
    <n v="235"/>
    <n v="495"/>
  </r>
  <r>
    <d v="2026-10-01T00:00:00"/>
    <s v="RIC"/>
    <x v="5"/>
    <s v="London (Gatwick)"/>
    <n v="921"/>
    <n v="3.8"/>
    <n v="2"/>
    <s v="United"/>
    <s v="Thu, Oct 29 â€“ Wed, Nov 4"/>
    <n v="800"/>
    <n v="1100"/>
  </r>
  <r>
    <d v="2026-10-01T00:00:00"/>
    <s v="RIC"/>
    <x v="16"/>
    <s v="Dublin"/>
    <n v="699"/>
    <n v="5.8"/>
    <n v="2"/>
    <s v="British Airways"/>
    <s v="Mon, Oct 26 â€“ Tue, Nov 3"/>
    <n v="580"/>
    <n v="850"/>
  </r>
  <r>
    <d v="2026-10-01T00:00:00"/>
    <s v="RIC"/>
    <x v="15"/>
    <s v="Paris"/>
    <n v="774"/>
    <n v="6"/>
    <n v="1"/>
    <s v="United"/>
    <s v="Mon, Nov 9 â€“ Tue, Nov 17"/>
    <n v="550"/>
    <n v="1100"/>
  </r>
  <r>
    <d v="2026-10-02T00:00:00"/>
    <s v="RIC"/>
    <x v="14"/>
    <s v="Rome"/>
    <n v="724"/>
    <n v="5.8"/>
    <n v="2"/>
    <s v="British Airways"/>
    <s v="Mon, Nov 9 â€“ Tue, Nov 17"/>
    <n v="550"/>
    <n v="1200"/>
  </r>
  <r>
    <d v="2026-10-02T00:00:00"/>
    <s v="RIC"/>
    <x v="21"/>
    <s v="Providenciales"/>
    <n v="636"/>
    <n v="6"/>
    <n v="1"/>
    <s v="American"/>
    <s v="Fri, Jan 1 â€“ Thu, Jan 7"/>
    <n v="360"/>
    <n v="680"/>
  </r>
  <r>
    <d v="2026-10-02T00:00:00"/>
    <s v="RIC"/>
    <x v="3"/>
    <s v="London (Heathrow)"/>
    <n v="859"/>
    <n v="3.8"/>
    <n v="2"/>
    <s v="British Airways"/>
    <s v="Sun, Nov 22 â€“ Tue, Dec 1"/>
    <n v="640"/>
    <n v="1050"/>
  </r>
  <r>
    <d v="2026-10-02T00:00:00"/>
    <s v="RIC"/>
    <x v="22"/>
    <s v="Tampa"/>
    <n v="108"/>
    <n v="10"/>
    <n v="0"/>
    <s v="Breeze"/>
    <s v="Sat, Jan 16 â€“ Fri, Jan 22"/>
    <n v="95"/>
    <n v="210"/>
  </r>
  <r>
    <d v="2026-10-02T00:00:00"/>
    <s v="RIC"/>
    <x v="17"/>
    <s v="Charleston"/>
    <n v="118"/>
    <n v="10"/>
    <n v="0"/>
    <s v="Breeze"/>
    <s v="Fri, Apr 23 â€“ Fri, Apr 30"/>
    <n v="265"/>
    <n v="495"/>
  </r>
  <r>
    <d v="2026-10-02T00:00:00"/>
    <s v="RIC"/>
    <x v="9"/>
    <s v="Lisbon"/>
    <n v="805"/>
    <n v="4"/>
    <n v="1"/>
    <s v="United"/>
    <s v="Sun, Nov 29 â€“ Tue, Dec 8"/>
    <n v="550"/>
    <n v="1050"/>
  </r>
  <r>
    <d v="2026-10-03T00:00:00"/>
    <s v="RIC"/>
    <x v="18"/>
    <s v="Orlando"/>
    <n v="104"/>
    <n v="10"/>
    <n v="0"/>
    <s v="Frontier"/>
    <s v="Thu, Nov 19 â€“ Wed, Nov 25"/>
    <n v="105"/>
    <n v="265"/>
  </r>
  <r>
    <d v="2026-10-03T00:00:00"/>
    <s v="RIC"/>
    <x v="1"/>
    <s v="Fort Lauderdale"/>
    <n v="264"/>
    <n v="4"/>
    <n v="1"/>
    <s v="Breeze"/>
    <s v="Thu, Nov 5 â€“ Mon, Nov 9"/>
    <n v="100"/>
    <n v="380"/>
  </r>
  <r>
    <d v="2026-10-03T00:00:00"/>
    <s v="RIC"/>
    <x v="19"/>
    <s v="Fort Myers"/>
    <n v="188"/>
    <n v="7.2"/>
    <n v="0"/>
    <s v="Breeze"/>
    <s v="Sat, Apr 24 â€“ Sat, May 1"/>
    <n v="260"/>
    <n v="500"/>
  </r>
  <r>
    <d v="2026-10-03T00:00:00"/>
    <s v="RIC"/>
    <x v="7"/>
    <s v="Las Vegas"/>
    <n v="268"/>
    <n v="7.2"/>
    <n v="0"/>
    <s v="Breeze"/>
    <s v="Sun, Dec 13 â€“ Tue, Dec 22"/>
    <n v="275"/>
    <n v="520"/>
  </r>
  <r>
    <d v="2026-10-03T00:00:00"/>
    <s v="RIC"/>
    <x v="13"/>
    <s v="Newark"/>
    <n v="289"/>
    <n v="4.2"/>
    <n v="0"/>
    <s v="United"/>
    <s v="Thu, Nov 5 â€“ Sun, Nov 8"/>
    <n v="175"/>
    <n v="335"/>
  </r>
  <r>
    <d v="2026-10-04T00:00:00"/>
    <s v="RIC"/>
    <x v="23"/>
    <s v="Punta Cana"/>
    <n v="460"/>
    <n v="8"/>
    <n v="1"/>
    <s v="American"/>
    <s v="Sat, Nov 14 â€“ Fri, Nov 20"/>
    <n v="305"/>
    <n v="680"/>
  </r>
  <r>
    <d v="2026-10-05T00:00:00"/>
    <s v="RIC"/>
    <x v="6"/>
    <s v="New York (JFK)"/>
    <n v="309"/>
    <n v="4.2"/>
    <n v="0"/>
    <s v="Delta"/>
    <s v="Thu, Dec 3 â€“ Sun, Dec 6"/>
    <n v="200"/>
    <n v="410"/>
  </r>
  <r>
    <d v="2026-10-05T00:00:00"/>
    <s v="RIC"/>
    <x v="8"/>
    <s v="Boston"/>
    <n v="276"/>
    <n v="6"/>
    <n v="1"/>
    <s v="Southwest"/>
    <s v="Fri, Jan 1 â€“ Sun, Jan 3"/>
    <n v="140"/>
    <n v="290"/>
  </r>
  <r>
    <d v="2026-10-05T00:00:00"/>
    <s v="RIC"/>
    <x v="20"/>
    <s v="Denver"/>
    <n v="320"/>
    <n v="4"/>
    <n v="1"/>
    <s v="Southwest"/>
    <s v="Mon, Feb 1 â€“ Mon, Feb 8"/>
    <n v="235"/>
    <n v="425"/>
  </r>
  <r>
    <d v="2026-10-05T00:00:00"/>
    <s v="RIC"/>
    <x v="12"/>
    <s v="Miami"/>
    <n v="270"/>
    <n v="4"/>
    <n v="1"/>
    <s v="Southwest"/>
    <s v="Sat, Feb 6 â€“ Sat, Feb 13"/>
    <n v="120"/>
    <n v="345"/>
  </r>
  <r>
    <d v="2026-10-05T00:00:00"/>
    <s v="RIC"/>
    <x v="4"/>
    <s v="Montego Bay"/>
    <n v="353"/>
    <n v="7"/>
    <n v="1"/>
    <s v="American"/>
    <s v="Mon, Dec 7 â€“ Tue, Dec 15"/>
    <n v="315"/>
    <n v="620"/>
  </r>
  <r>
    <d v="2026-10-05T00:00:00"/>
    <s v="RIC"/>
    <x v="7"/>
    <s v="Las Vegas"/>
    <n v="288"/>
    <n v="7"/>
    <n v="1"/>
    <s v="Delta"/>
    <s v="Mon, Mar 1 â€“ Tue, Mar 9"/>
    <n v="275"/>
    <n v="520"/>
  </r>
  <r>
    <d v="2026-10-05T00:00:00"/>
    <s v="RIC"/>
    <x v="24"/>
    <s v="Chicago (O'Hare)"/>
    <n v="261"/>
    <n v="4.2"/>
    <n v="0"/>
    <s v="American"/>
    <s v="Thu, Dec 3 â€“ Mon, Dec 7"/>
    <n v="160"/>
    <n v="405"/>
  </r>
  <r>
    <d v="2026-10-05T00:00:00"/>
    <s v="RIC"/>
    <x v="2"/>
    <s v="Chicago (Midway)"/>
    <n v="268"/>
    <n v="4.2"/>
    <n v="0"/>
    <s v="Southwest"/>
    <s v="Sat, Jan 9 â€“ Mon, Jan 11"/>
    <n v="245"/>
    <n v="500"/>
  </r>
  <r>
    <d v="2026-10-06T00:00:00"/>
    <s v="RIC"/>
    <x v="25"/>
    <s v="Aruba"/>
    <n v="304"/>
    <n v="10"/>
    <n v="1"/>
    <s v="American"/>
    <s v="Mon, Dec 7 â€“ Tue, Dec 15"/>
    <n v="310"/>
    <n v="1050"/>
  </r>
  <r>
    <d v="2026-10-06T00:00:00"/>
    <s v="RIC"/>
    <x v="18"/>
    <s v="Orlando"/>
    <n v="96"/>
    <n v="10"/>
    <n v="0"/>
    <s v="Frontier"/>
    <s v="Mon, Jan 11 â€“ Wed, Jan 20"/>
    <n v="75"/>
    <n v="145"/>
  </r>
  <r>
    <d v="2026-10-06T00:00:00"/>
    <s v="RIC"/>
    <x v="11"/>
    <s v="Cancun"/>
    <n v="350"/>
    <n v="6"/>
    <n v="1"/>
    <s v="United"/>
    <s v="Mon, Nov 2 â€“ Tue, Nov 10"/>
    <n v="305"/>
    <n v="630"/>
  </r>
  <r>
    <d v="2026-10-06T00:00:00"/>
    <s v="RIC"/>
    <x v="0"/>
    <s v="New York (LaGuardia)"/>
    <n v="290"/>
    <n v="4"/>
    <n v="1"/>
    <s v="Frontier"/>
    <s v="Fri, Dec 11 â€“ Mon, Dec 14"/>
    <n v="175"/>
    <n v="340"/>
  </r>
  <r>
    <d v="2026-10-07T00:00:00"/>
    <s v="RIC"/>
    <x v="7"/>
    <s v="Las Vegas"/>
    <n v="212"/>
    <n v="10"/>
    <n v="1"/>
    <s v="JetBlue"/>
    <s v="Thu, Nov 26 â€“ Thu, Dec 3"/>
    <n v="270"/>
    <n v="460"/>
  </r>
  <r>
    <d v="2026-10-07T00:00:00"/>
    <s v="RIC"/>
    <x v="1"/>
    <s v="Fort Lauderdale"/>
    <n v="191"/>
    <n v="3.8"/>
    <n v="2"/>
    <s v="Southwest"/>
    <s v="Thu, Nov 5 â€“ Mon, Nov 9"/>
    <n v="100"/>
    <n v="385"/>
  </r>
  <r>
    <d v="2026-10-07T00:00:00"/>
    <s v="RIC"/>
    <x v="24"/>
    <s v="Chicago (O'Hare)"/>
    <n v="221"/>
    <n v="6"/>
    <n v="1"/>
    <s v="Frontier"/>
    <s v="Fri, Dec 4 â€“ Mon, Dec 7"/>
    <n v="160"/>
    <n v="405"/>
  </r>
  <r>
    <d v="2026-10-07T00:00:00"/>
    <s v="RIC"/>
    <x v="18"/>
    <s v="Orlando"/>
    <n v="52"/>
    <n v="10"/>
    <n v="0"/>
    <s v="Frontier"/>
    <s v="Thu, Nov 12 â€“ Thu, Nov 19"/>
    <n v="110"/>
    <n v="265"/>
  </r>
  <r>
    <d v="2026-10-07T00:00:00"/>
    <s v="RIC"/>
    <x v="10"/>
    <s v="Nashville"/>
    <n v="141"/>
    <n v="9.1999999999999993"/>
    <n v="0"/>
    <s v="Allegiant"/>
    <s v="Thu, Nov 19 â€“ Sun, Nov 22"/>
    <n v="190"/>
    <n v="375"/>
  </r>
  <r>
    <d v="2026-10-08T00:00:00"/>
    <s v="RIC"/>
    <x v="19"/>
    <s v="Fort Myers"/>
    <n v="143"/>
    <n v="9.1999999999999993"/>
    <n v="0"/>
    <s v="Breeze"/>
    <s v="Thu, Feb 25 â€“ Thu, Mar 4"/>
    <n v="210"/>
    <n v="435"/>
  </r>
  <r>
    <d v="2026-10-08T00:00:00"/>
    <s v="RIC"/>
    <x v="23"/>
    <s v="Punta Cana"/>
    <n v="403"/>
    <n v="9"/>
    <n v="1"/>
    <s v="JetBlue"/>
    <s v="Fri, Nov 13 â€“ Sun, Nov 22"/>
    <n v="305"/>
    <n v="700"/>
  </r>
  <r>
    <d v="2026-10-08T00:00:00"/>
    <s v="RIC"/>
    <x v="16"/>
    <s v="Dublin"/>
    <n v="701"/>
    <n v="5.8"/>
    <n v="2"/>
    <s v="British Airways"/>
    <s v="Thu, Nov 5 â€“ Wed, Nov 11"/>
    <n v="490"/>
    <n v="950"/>
  </r>
  <r>
    <d v="2026-10-08T00:00:00"/>
    <s v="RIC"/>
    <x v="5"/>
    <s v="London (Gatwick)"/>
    <n v="890"/>
    <n v="3.8"/>
    <n v="2"/>
    <s v="United"/>
    <s v="Sun, Nov 8 â€“ Mon, Nov 16"/>
    <n v="660"/>
    <n v="1100"/>
  </r>
  <r>
    <d v="2026-10-08T00:00:00"/>
    <s v="RIC"/>
    <x v="13"/>
    <s v="Newark"/>
    <n v="250"/>
    <n v="4"/>
    <n v="1"/>
    <s v="Frontier"/>
    <s v="Thu, Nov 5 â€“ Sun, Nov 8"/>
    <n v="175"/>
    <n v="350"/>
  </r>
  <r>
    <d v="2026-10-08T00:00:00"/>
    <s v="RIC"/>
    <x v="15"/>
    <s v="Paris"/>
    <n v="797"/>
    <n v="6"/>
    <n v="1"/>
    <s v="United"/>
    <s v="Mon, Dec 7 â€“ Tue, Dec 15"/>
    <n v="560"/>
    <n v="1850"/>
  </r>
  <r>
    <d v="2026-10-09T00:00:00"/>
    <s v="RIC"/>
    <x v="22"/>
    <s v="Tampa"/>
    <n v="153"/>
    <n v="7"/>
    <n v="1"/>
    <s v="Southwest"/>
    <s v="Mon, Feb 1 â€“ Tue, Feb 9"/>
    <n v="125"/>
    <n v="235"/>
  </r>
  <r>
    <d v="2026-10-09T00:00:00"/>
    <s v="RIC"/>
    <x v="14"/>
    <s v="Rome"/>
    <n v="802"/>
    <n v="4"/>
    <n v="1"/>
    <s v="United"/>
    <s v="Thu, Apr 15 â€“ Wed, Apr 21"/>
    <n v="870"/>
    <n v="1150"/>
  </r>
  <r>
    <d v="2026-10-09T00:00:00"/>
    <s v="RIC"/>
    <x v="21"/>
    <s v="Providenciales"/>
    <n v="545"/>
    <n v="6.8"/>
    <n v="2"/>
    <s v="Southwest"/>
    <s v="Mon, Nov 16 â€“ Wed, Nov 25"/>
    <n v="480"/>
    <n v="850"/>
  </r>
  <r>
    <d v="2026-10-09T00:00:00"/>
    <s v="RIC"/>
    <x v="17"/>
    <s v="Charleston"/>
    <n v="98"/>
    <n v="10"/>
    <n v="0"/>
    <s v="Breeze"/>
    <s v="Mon, Jan 11 â€“ Mon, Jan 18"/>
    <n v="160"/>
    <n v="300"/>
  </r>
  <r>
    <d v="2026-10-09T00:00:00"/>
    <s v="RIC"/>
    <x v="3"/>
    <s v="London (Heathrow)"/>
    <n v="891"/>
    <n v="3.8"/>
    <n v="2"/>
    <s v="British Airways"/>
    <s v="Sun, Dec 6 â€“ Tue, Dec 15"/>
    <n v="660"/>
    <n v="1500"/>
  </r>
  <r>
    <d v="2026-10-09T00:00:00"/>
    <s v="RIC"/>
    <x v="9"/>
    <s v="Lisbon"/>
    <n v="722"/>
    <n v="6"/>
    <n v="1"/>
    <s v="American"/>
    <s v="Sun, Dec 6 â€“ Tue, Dec 15"/>
    <n v="540"/>
    <n v="1750"/>
  </r>
  <r>
    <d v="2026-10-10T00:00:00"/>
    <s v="RIC"/>
    <x v="2"/>
    <s v="Chicago (Midway)"/>
    <n v="259"/>
    <n v="4"/>
    <n v="1"/>
    <s v="Frontier"/>
    <s v="Thu, Nov 19 â€“ Sun, Nov 22"/>
    <n v="285"/>
    <n v="550"/>
  </r>
  <r>
    <d v="2026-10-10T00:00:00"/>
    <s v="RIC"/>
    <x v="13"/>
    <s v="Newark"/>
    <n v="250"/>
    <n v="4"/>
    <n v="1"/>
    <s v="Frontier"/>
    <s v="Fri, Jan 22 â€“ Sun, Jan 24"/>
    <n v="165"/>
    <n v="265"/>
  </r>
  <r>
    <d v="2026-10-12T00:00:00"/>
    <s v="RIC"/>
    <x v="8"/>
    <s v="Boston"/>
    <n v="310"/>
    <n v="4"/>
    <n v="1"/>
    <s v="United"/>
    <s v="Thu, Dec 3 â€“ Mon, Dec 7"/>
    <n v="135"/>
    <n v="310"/>
  </r>
  <r>
    <d v="2026-10-12T00:00:00"/>
    <s v="RIC"/>
    <x v="20"/>
    <s v="Denver"/>
    <n v="313"/>
    <n v="4"/>
    <n v="1"/>
    <s v="Frontier"/>
    <s v="Thu, Dec 3 â€“ Wed, Dec 9"/>
    <n v="240"/>
    <n v="580"/>
  </r>
  <r>
    <d v="2026-10-12T00:00:00"/>
    <s v="RIC"/>
    <x v="6"/>
    <s v="New York (JFK)"/>
    <n v="309"/>
    <n v="4.2"/>
    <n v="0"/>
    <s v="Delta"/>
    <s v="Thu, Jan 7 â€“ Sun, Jan 10"/>
    <n v="160"/>
    <n v="320"/>
  </r>
  <r>
    <d v="2026-10-12T00:00:00"/>
    <s v="RIC"/>
    <x v="4"/>
    <s v="Montego Bay"/>
    <n v="429"/>
    <n v="4"/>
    <n v="1"/>
    <s v="JetBlue"/>
    <s v="Mon, Nov 2 â€“ Tue, Nov 10"/>
    <n v="315"/>
    <n v="495"/>
  </r>
  <r>
    <d v="2026-10-13T00:00:00"/>
    <s v="RIC"/>
    <x v="1"/>
    <s v="Fort Lauderdale"/>
    <n v="219"/>
    <n v="4"/>
    <n v="1"/>
    <s v="Breeze"/>
    <s v="Thu, Dec 3 â€“ Sun, Dec 6"/>
    <n v="85"/>
    <n v="270"/>
  </r>
  <r>
    <d v="2026-10-13T00:00:00"/>
    <s v="RIC"/>
    <x v="12"/>
    <s v="Miami"/>
    <n v="340"/>
    <n v="3.8"/>
    <n v="2"/>
    <s v="American"/>
    <s v="Mon, Nov 23 â€“ Tue, Dec 1"/>
    <n v="200"/>
    <n v="460"/>
  </r>
  <r>
    <d v="2026-10-13T00:00:00"/>
    <s v="RIC"/>
    <x v="11"/>
    <s v="Cancun"/>
    <n v="367"/>
    <n v="6"/>
    <n v="1"/>
    <s v="Delta"/>
    <s v="Sun, Dec 13 â€“ Tue, Dec 22"/>
    <n v="305"/>
    <n v="800"/>
  </r>
  <r>
    <d v="2026-10-13T00:00:00"/>
    <s v="RIC"/>
    <x v="8"/>
    <s v="Boston"/>
    <n v="272"/>
    <n v="6"/>
    <n v="1"/>
    <s v="Frontier"/>
    <s v="Thu, Dec 3 â€“ Mon, Dec 7"/>
    <n v="135"/>
    <n v="315"/>
  </r>
  <r>
    <d v="2026-10-13T00:00:00"/>
    <s v="RIC"/>
    <x v="0"/>
    <s v="New York (LaGuardia)"/>
    <n v="309"/>
    <n v="4.2"/>
    <n v="0"/>
    <s v="American"/>
    <s v="Thu, Nov 12 â€“ Sun, Nov 15"/>
    <n v="190"/>
    <n v="375"/>
  </r>
  <r>
    <d v="2026-10-14T00:00:00"/>
    <s v="RIC"/>
    <x v="1"/>
    <s v="Fort Lauderdale"/>
    <n v="157"/>
    <n v="6"/>
    <n v="1"/>
    <s v="Breeze"/>
    <s v="Thu, Dec 3 â€“ Sun, Dec 6"/>
    <n v="85"/>
    <n v="270"/>
  </r>
  <r>
    <d v="2026-10-14T00:00:00"/>
    <s v="RIC"/>
    <x v="25"/>
    <s v="Aruba"/>
    <n v="423"/>
    <n v="7"/>
    <n v="1"/>
    <s v="American"/>
    <s v="Mon, Mar 1 â€“ Mon, Mar 8"/>
    <n v="320"/>
    <n v="610"/>
  </r>
  <r>
    <d v="2026-10-14T00:00:00"/>
    <s v="RIC"/>
    <x v="7"/>
    <s v="Las Vegas"/>
    <n v="208"/>
    <n v="10"/>
    <n v="0"/>
    <s v="Breeze"/>
    <s v="Sun, Jan 24 â€“ Tue, Feb 2"/>
    <n v="220"/>
    <n v="390"/>
  </r>
  <r>
    <d v="2026-10-15T00:00:00"/>
    <s v="RIC"/>
    <x v="23"/>
    <s v="Punta Cana"/>
    <n v="474"/>
    <n v="8"/>
    <n v="1"/>
    <s v="Southwest"/>
    <s v="Sun, Jan 24 â€“ Tue, Feb 2"/>
    <n v="295"/>
    <n v="340"/>
  </r>
  <r>
    <d v="2026-10-15T00:00:00"/>
    <s v="RIC"/>
    <x v="24"/>
    <s v="Chicago (O'Hare)"/>
    <n v="268"/>
    <n v="4"/>
    <n v="1"/>
    <s v="Frontier"/>
    <s v="Thu, Feb 4 â€“ Mon, Feb 8"/>
    <n v="200"/>
    <n v="355"/>
  </r>
  <r>
    <d v="2026-10-15T00:00:00"/>
    <s v="RIC"/>
    <x v="5"/>
    <s v="London (Gatwick)"/>
    <n v="890"/>
    <n v="3.8"/>
    <n v="2"/>
    <s v="United"/>
    <s v="Mon, Dec 7 â€“ Wed, Dec 16"/>
    <n v="740"/>
    <n v="1700"/>
  </r>
  <r>
    <d v="2026-10-15T00:00:00"/>
    <s v="RIC"/>
    <x v="19"/>
    <s v="Fort Myers"/>
    <n v="128"/>
    <n v="10"/>
    <n v="0"/>
    <s v="Breeze"/>
    <s v="Sun, Jan 17 â€“ Sat, Jan 23"/>
    <n v="180"/>
    <n v="365"/>
  </r>
  <r>
    <d v="2026-10-15T00:00:00"/>
    <s v="RIC"/>
    <x v="16"/>
    <s v="Dublin"/>
    <n v="721"/>
    <n v="5.8"/>
    <n v="2"/>
    <s v="British Airways"/>
    <s v="Mon, Dec 7 â€“ Tue, Dec 15"/>
    <n v="480"/>
    <n v="1450"/>
  </r>
  <r>
    <d v="2026-10-15T00:00:00"/>
    <s v="RIC"/>
    <x v="10"/>
    <s v="Nashville"/>
    <n v="176"/>
    <n v="7.2"/>
    <n v="0"/>
    <s v="Allegiant"/>
    <s v="Thu, Dec 10 â€“ Sun, Dec 13"/>
    <n v="180"/>
    <n v="380"/>
  </r>
  <r>
    <d v="2026-10-15T00:00:00"/>
    <s v="RIC"/>
    <x v="18"/>
    <s v="Orlando"/>
    <n v="109"/>
    <n v="10"/>
    <n v="0"/>
    <s v="Frontier"/>
    <s v="Mon, Dec 7 â€“ Wed, Dec 16"/>
    <n v="75"/>
    <n v="280"/>
  </r>
  <r>
    <d v="2026-10-16T00:00:00"/>
    <s v="RIC"/>
    <x v="15"/>
    <s v="Paris"/>
    <n v="787"/>
    <n v="6"/>
    <n v="1"/>
    <s v="Delta"/>
    <s v="Mon, Jan 18 â€“ Tue, Jan 26"/>
    <n v="550"/>
    <n v="850"/>
  </r>
  <r>
    <d v="2026-10-16T00:00:00"/>
    <s v="RIC"/>
    <x v="21"/>
    <s v="Providenciales"/>
    <n v="628"/>
    <n v="5.8"/>
    <n v="2"/>
    <s v="Southwest"/>
    <s v="Mon, Dec 14 â€“ Tue, Dec 22"/>
    <n v="360"/>
    <n v="890"/>
  </r>
  <r>
    <d v="2026-10-16T00:00:00"/>
    <s v="RIC"/>
    <x v="22"/>
    <s v="Tampa"/>
    <n v="153"/>
    <n v="7.2"/>
    <n v="0"/>
    <s v="Breeze"/>
    <s v="Thu, Nov 12 â€“ Wed, Nov 18"/>
    <n v="150"/>
    <n v="325"/>
  </r>
  <r>
    <d v="2026-10-16T00:00:00"/>
    <s v="RIC"/>
    <x v="14"/>
    <s v="Rome"/>
    <n v="723"/>
    <n v="6"/>
    <n v="1"/>
    <s v="United"/>
    <s v="Sun, Dec 6 â€“ Tue, Dec 15"/>
    <n v="600"/>
    <n v="1900"/>
  </r>
  <r>
    <d v="2026-10-16T00:00:00"/>
    <s v="RIC"/>
    <x v="17"/>
    <s v="Charleston"/>
    <n v="123"/>
    <n v="10"/>
    <n v="0"/>
    <s v="Breeze"/>
    <s v="Mon, Mar 1 â€“ Mon, Mar 8"/>
    <n v="235"/>
    <n v="510"/>
  </r>
  <r>
    <d v="2026-10-16T00:00:00"/>
    <s v="RIC"/>
    <x v="3"/>
    <s v="London (Heathrow)"/>
    <n v="860"/>
    <n v="3.8"/>
    <n v="2"/>
    <s v="British Airways"/>
    <s v="Sun, Jan 17 â€“ Sat, Jan 23"/>
    <n v="620"/>
    <n v="870"/>
  </r>
  <r>
    <d v="2026-10-16T00:00:00"/>
    <s v="RIC"/>
    <x v="9"/>
    <s v="Lisbon"/>
    <n v="731"/>
    <n v="6"/>
    <n v="1"/>
    <s v="American"/>
    <s v="Sun, Jan 17 â€“ Tue, Jan 26"/>
    <n v="490"/>
    <n v="720"/>
  </r>
  <r>
    <d v="2026-10-17T00:00:00"/>
    <s v="RIC"/>
    <x v="13"/>
    <s v="Newark"/>
    <n v="275"/>
    <n v="4"/>
    <n v="1"/>
    <s v="Frontier"/>
    <s v="Fri, Dec 4 â€“ Sun, Dec 6"/>
    <n v="175"/>
    <n v="290"/>
  </r>
  <r>
    <d v="2026-10-17T00:00:00"/>
    <s v="RIC"/>
    <x v="2"/>
    <s v="Chicago (Midway)"/>
    <n v="250"/>
    <n v="4"/>
    <n v="1"/>
    <s v="Frontier"/>
    <s v="Thu, Dec 3 â€“ Sun, Dec 6"/>
    <n v="260"/>
    <n v="510"/>
  </r>
  <r>
    <d v="2026-10-19T00:00:00"/>
    <s v="RIC"/>
    <x v="8"/>
    <s v="Boston"/>
    <n v="283"/>
    <n v="6"/>
    <n v="1"/>
    <s v="Frontier"/>
    <s v="Thu, Feb 4 â€“ Mon, Feb 8"/>
    <n v="130"/>
    <n v="320"/>
  </r>
  <r>
    <d v="2026-10-19T00:00:00"/>
    <s v="RIC"/>
    <x v="12"/>
    <s v="Miami"/>
    <n v="264"/>
    <n v="4"/>
    <n v="1"/>
    <s v="Southwest"/>
    <s v="Sat, Jan 9 â€“ Sat, Jan 16"/>
    <n v="90"/>
    <n v="270"/>
  </r>
  <r>
    <d v="2026-10-19T00:00:00"/>
    <s v="RIC"/>
    <x v="19"/>
    <s v="Fort Myers"/>
    <n v="246"/>
    <n v="4.2"/>
    <n v="0"/>
    <s v="Breeze"/>
    <s v="Thu, Nov 12 â€“ Wed, Nov 18"/>
    <n v="265"/>
    <n v="520"/>
  </r>
  <r>
    <d v="2026-10-19T00:00:00"/>
    <s v="RIC"/>
    <x v="21"/>
    <s v="Providenciales"/>
    <n v="540"/>
    <n v="6.8"/>
    <n v="2"/>
    <s v="Southwest"/>
    <s v="Mon, Dec 14 â€“ Tue, Dec 22"/>
    <n v="360"/>
    <n v="890"/>
  </r>
  <r>
    <d v="2026-10-19T00:00:00"/>
    <s v="RIC"/>
    <x v="20"/>
    <s v="Denver"/>
    <n v="332"/>
    <n v="4"/>
    <n v="1"/>
    <s v="Southwest"/>
    <s v="Mon, Jan 4 â€“ Mon, Jan 11"/>
    <n v="225"/>
    <n v="450"/>
  </r>
  <r>
    <d v="2026-10-19T00:00:00"/>
    <s v="RIC"/>
    <x v="6"/>
    <s v="New York (JFK)"/>
    <n v="329"/>
    <n v="4.2"/>
    <n v="0"/>
    <s v="Delta"/>
    <s v="Thu, Nov 19 â€“ Sun, Nov 22"/>
    <n v="225"/>
    <n v="420"/>
  </r>
  <r>
    <d v="2026-10-19T00:00:00"/>
    <s v="RIC"/>
    <x v="0"/>
    <s v="New York (LaGuardia)"/>
    <n v="268"/>
    <n v="3.8"/>
    <n v="2"/>
    <s v="American"/>
    <s v="Sat, Jan 9 â€“ Sun, Jan 10"/>
    <n v="165"/>
    <n v="275"/>
  </r>
  <r>
    <d v="2026-10-19T00:00:00"/>
    <s v="RIC"/>
    <x v="7"/>
    <s v="Las Vegas"/>
    <n v="228"/>
    <n v="8"/>
    <n v="1"/>
    <s v="Delta"/>
    <s v="Thu, Dec 31 â€“ Thu, Jan 7"/>
    <n v="275"/>
    <n v="520"/>
  </r>
  <r>
    <d v="2026-10-19T00:00:00"/>
    <s v="RIC"/>
    <x v="4"/>
    <s v="Montego Bay"/>
    <n v="448"/>
    <n v="3.8"/>
    <n v="2"/>
    <s v="American"/>
    <s v="Sat, Jan 23 â€“ Fri, Jan 29"/>
    <n v="300"/>
    <n v="325"/>
  </r>
  <r>
    <m/>
    <m/>
    <x v="2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0" firstHeaderRow="1" firstDataRow="1" firstDataCol="1"/>
  <pivotFields count="11">
    <pivotField showAll="0"/>
    <pivotField showAll="0"/>
    <pivotField axis="axisRow" showAll="0">
      <items count="28">
        <item x="25"/>
        <item x="10"/>
        <item x="8"/>
        <item x="15"/>
        <item x="17"/>
        <item x="11"/>
        <item x="20"/>
        <item x="16"/>
        <item x="13"/>
        <item x="14"/>
        <item x="1"/>
        <item x="6"/>
        <item x="7"/>
        <item x="0"/>
        <item x="5"/>
        <item x="3"/>
        <item x="9"/>
        <item x="4"/>
        <item x="18"/>
        <item x="2"/>
        <item x="12"/>
        <item x="24"/>
        <item x="21"/>
        <item x="23"/>
        <item x="19"/>
        <item x="22"/>
        <item h="1" x="2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deal_grade" fld="5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0"/>
  <sheetViews>
    <sheetView tabSelected="1" workbookViewId="0">
      <selection activeCell="F24" sqref="F24"/>
    </sheetView>
  </sheetViews>
  <sheetFormatPr defaultRowHeight="14.4" x14ac:dyDescent="0.3"/>
  <cols>
    <col min="1" max="1" width="12.77734375" bestFit="1" customWidth="1"/>
    <col min="2" max="2" width="18.5546875" bestFit="1" customWidth="1"/>
  </cols>
  <sheetData>
    <row r="3" spans="1:2" x14ac:dyDescent="0.3">
      <c r="A3" s="2" t="s">
        <v>212</v>
      </c>
      <c r="B3" t="s">
        <v>214</v>
      </c>
    </row>
    <row r="4" spans="1:2" x14ac:dyDescent="0.3">
      <c r="A4" s="3" t="s">
        <v>116</v>
      </c>
      <c r="B4" s="4">
        <v>9</v>
      </c>
    </row>
    <row r="5" spans="1:2" x14ac:dyDescent="0.3">
      <c r="A5" s="3" t="s">
        <v>49</v>
      </c>
      <c r="B5" s="4">
        <v>9</v>
      </c>
    </row>
    <row r="6" spans="1:2" x14ac:dyDescent="0.3">
      <c r="A6" s="3" t="s">
        <v>43</v>
      </c>
      <c r="B6" s="4">
        <v>12</v>
      </c>
    </row>
    <row r="7" spans="1:2" x14ac:dyDescent="0.3">
      <c r="A7" s="3" t="s">
        <v>66</v>
      </c>
      <c r="B7" s="4">
        <v>9</v>
      </c>
    </row>
    <row r="8" spans="1:2" x14ac:dyDescent="0.3">
      <c r="A8" s="3" t="s">
        <v>79</v>
      </c>
      <c r="B8" s="4">
        <v>11</v>
      </c>
    </row>
    <row r="9" spans="1:2" x14ac:dyDescent="0.3">
      <c r="A9" s="3" t="s">
        <v>53</v>
      </c>
      <c r="B9" s="4">
        <v>9</v>
      </c>
    </row>
    <row r="10" spans="1:2" x14ac:dyDescent="0.3">
      <c r="A10" s="3" t="s">
        <v>90</v>
      </c>
      <c r="B10" s="4">
        <v>10</v>
      </c>
    </row>
    <row r="11" spans="1:2" x14ac:dyDescent="0.3">
      <c r="A11" s="3" t="s">
        <v>69</v>
      </c>
      <c r="B11" s="4">
        <v>9</v>
      </c>
    </row>
    <row r="12" spans="1:2" x14ac:dyDescent="0.3">
      <c r="A12" s="3" t="s">
        <v>59</v>
      </c>
      <c r="B12" s="4">
        <v>10</v>
      </c>
    </row>
    <row r="13" spans="1:2" x14ac:dyDescent="0.3">
      <c r="A13" s="3" t="s">
        <v>62</v>
      </c>
      <c r="B13" s="4">
        <v>9</v>
      </c>
    </row>
    <row r="14" spans="1:2" x14ac:dyDescent="0.3">
      <c r="A14" s="3" t="s">
        <v>16</v>
      </c>
      <c r="B14" s="4">
        <v>11</v>
      </c>
    </row>
    <row r="15" spans="1:2" x14ac:dyDescent="0.3">
      <c r="A15" s="3" t="s">
        <v>35</v>
      </c>
      <c r="B15" s="4">
        <v>10</v>
      </c>
    </row>
    <row r="16" spans="1:2" x14ac:dyDescent="0.3">
      <c r="A16" s="3" t="s">
        <v>39</v>
      </c>
      <c r="B16" s="4">
        <v>12</v>
      </c>
    </row>
    <row r="17" spans="1:2" x14ac:dyDescent="0.3">
      <c r="A17" s="3" t="s">
        <v>12</v>
      </c>
      <c r="B17" s="4">
        <v>10</v>
      </c>
    </row>
    <row r="18" spans="1:2" x14ac:dyDescent="0.3">
      <c r="A18" s="3" t="s">
        <v>31</v>
      </c>
      <c r="B18" s="4">
        <v>10</v>
      </c>
    </row>
    <row r="19" spans="1:2" x14ac:dyDescent="0.3">
      <c r="A19" s="3" t="s">
        <v>24</v>
      </c>
      <c r="B19" s="4">
        <v>10</v>
      </c>
    </row>
    <row r="20" spans="1:2" x14ac:dyDescent="0.3">
      <c r="A20" s="3" t="s">
        <v>46</v>
      </c>
      <c r="B20" s="4">
        <v>9</v>
      </c>
    </row>
    <row r="21" spans="1:2" x14ac:dyDescent="0.3">
      <c r="A21" s="3" t="s">
        <v>28</v>
      </c>
      <c r="B21" s="4">
        <v>10</v>
      </c>
    </row>
    <row r="22" spans="1:2" x14ac:dyDescent="0.3">
      <c r="A22" s="3" t="s">
        <v>84</v>
      </c>
      <c r="B22" s="4">
        <v>11</v>
      </c>
    </row>
    <row r="23" spans="1:2" x14ac:dyDescent="0.3">
      <c r="A23" s="3" t="s">
        <v>20</v>
      </c>
      <c r="B23" s="4">
        <v>13</v>
      </c>
    </row>
    <row r="24" spans="1:2" x14ac:dyDescent="0.3">
      <c r="A24" s="3" t="s">
        <v>56</v>
      </c>
      <c r="B24" s="4">
        <v>11</v>
      </c>
    </row>
    <row r="25" spans="1:2" x14ac:dyDescent="0.3">
      <c r="A25" s="3" t="s">
        <v>112</v>
      </c>
      <c r="B25" s="4">
        <v>8</v>
      </c>
    </row>
    <row r="26" spans="1:2" x14ac:dyDescent="0.3">
      <c r="A26" s="3" t="s">
        <v>96</v>
      </c>
      <c r="B26" s="4">
        <v>9</v>
      </c>
    </row>
    <row r="27" spans="1:2" x14ac:dyDescent="0.3">
      <c r="A27" s="3" t="s">
        <v>103</v>
      </c>
      <c r="B27" s="4">
        <v>8</v>
      </c>
    </row>
    <row r="28" spans="1:2" x14ac:dyDescent="0.3">
      <c r="A28" s="3" t="s">
        <v>87</v>
      </c>
      <c r="B28" s="4">
        <v>8</v>
      </c>
    </row>
    <row r="29" spans="1:2" x14ac:dyDescent="0.3">
      <c r="A29" s="3" t="s">
        <v>100</v>
      </c>
      <c r="B29" s="4">
        <v>8</v>
      </c>
    </row>
    <row r="30" spans="1:2" x14ac:dyDescent="0.3">
      <c r="A30" s="3" t="s">
        <v>213</v>
      </c>
      <c r="B30" s="4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6"/>
  <sheetViews>
    <sheetView workbookViewId="0">
      <selection activeCell="D22" sqref="D22"/>
    </sheetView>
  </sheetViews>
  <sheetFormatPr defaultRowHeight="14.4" x14ac:dyDescent="0.3"/>
  <cols>
    <col min="1" max="1" width="11" bestFit="1" customWidth="1"/>
    <col min="2" max="2" width="6" bestFit="1" customWidth="1"/>
    <col min="3" max="3" width="16.109375" bestFit="1" customWidth="1"/>
    <col min="4" max="4" width="19.6640625" bestFit="1" customWidth="1"/>
    <col min="5" max="5" width="8.44140625" bestFit="1" customWidth="1"/>
    <col min="6" max="6" width="10.5546875" bestFit="1" customWidth="1"/>
    <col min="7" max="7" width="5.5546875" bestFit="1" customWidth="1"/>
    <col min="8" max="8" width="13.88671875" bestFit="1" customWidth="1"/>
    <col min="9" max="9" width="26.6640625" bestFit="1" customWidth="1"/>
    <col min="10" max="10" width="22.109375" bestFit="1" customWidth="1"/>
    <col min="11" max="11" width="22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46251</v>
      </c>
      <c r="B2" t="s">
        <v>11</v>
      </c>
      <c r="C2" t="s">
        <v>12</v>
      </c>
      <c r="D2" t="s">
        <v>13</v>
      </c>
      <c r="E2">
        <v>249</v>
      </c>
      <c r="F2">
        <v>4.2</v>
      </c>
      <c r="G2">
        <v>0</v>
      </c>
      <c r="H2" t="s">
        <v>14</v>
      </c>
      <c r="I2" t="s">
        <v>15</v>
      </c>
      <c r="J2">
        <v>185</v>
      </c>
      <c r="K2">
        <v>270</v>
      </c>
    </row>
    <row r="3" spans="1:11" x14ac:dyDescent="0.3">
      <c r="A3" s="1">
        <v>46251</v>
      </c>
      <c r="B3" t="s">
        <v>11</v>
      </c>
      <c r="C3" t="s">
        <v>16</v>
      </c>
      <c r="D3" t="s">
        <v>17</v>
      </c>
      <c r="E3">
        <v>197</v>
      </c>
      <c r="F3">
        <v>4.2</v>
      </c>
      <c r="G3">
        <v>0</v>
      </c>
      <c r="H3" t="s">
        <v>18</v>
      </c>
      <c r="I3" t="s">
        <v>19</v>
      </c>
      <c r="J3">
        <v>120</v>
      </c>
      <c r="K3">
        <v>270</v>
      </c>
    </row>
    <row r="4" spans="1:11" x14ac:dyDescent="0.3">
      <c r="A4" s="1">
        <v>46251</v>
      </c>
      <c r="B4" t="s">
        <v>11</v>
      </c>
      <c r="C4" t="s">
        <v>20</v>
      </c>
      <c r="D4" t="s">
        <v>21</v>
      </c>
      <c r="E4">
        <v>237</v>
      </c>
      <c r="F4">
        <v>4.2</v>
      </c>
      <c r="G4">
        <v>0</v>
      </c>
      <c r="H4" t="s">
        <v>22</v>
      </c>
      <c r="I4" t="s">
        <v>23</v>
      </c>
      <c r="J4">
        <v>280</v>
      </c>
      <c r="K4">
        <v>530</v>
      </c>
    </row>
    <row r="5" spans="1:11" x14ac:dyDescent="0.3">
      <c r="A5" s="1">
        <v>46251</v>
      </c>
      <c r="B5" t="s">
        <v>11</v>
      </c>
      <c r="C5" t="s">
        <v>24</v>
      </c>
      <c r="D5" t="s">
        <v>25</v>
      </c>
      <c r="E5">
        <v>867</v>
      </c>
      <c r="F5">
        <v>4</v>
      </c>
      <c r="G5">
        <v>1</v>
      </c>
      <c r="H5" t="s">
        <v>26</v>
      </c>
      <c r="I5" t="s">
        <v>27</v>
      </c>
      <c r="J5">
        <v>580</v>
      </c>
      <c r="K5">
        <v>930</v>
      </c>
    </row>
    <row r="6" spans="1:11" x14ac:dyDescent="0.3">
      <c r="A6" s="1">
        <v>46251</v>
      </c>
      <c r="B6" t="s">
        <v>11</v>
      </c>
      <c r="C6" t="s">
        <v>28</v>
      </c>
      <c r="D6" t="s">
        <v>29</v>
      </c>
      <c r="E6">
        <v>414</v>
      </c>
      <c r="F6">
        <v>6</v>
      </c>
      <c r="G6">
        <v>1</v>
      </c>
      <c r="H6" t="s">
        <v>14</v>
      </c>
      <c r="I6" t="s">
        <v>30</v>
      </c>
      <c r="J6">
        <v>315</v>
      </c>
      <c r="K6">
        <v>420</v>
      </c>
    </row>
    <row r="7" spans="1:11" x14ac:dyDescent="0.3">
      <c r="A7" s="1">
        <v>46251</v>
      </c>
      <c r="B7" t="s">
        <v>11</v>
      </c>
      <c r="C7" t="s">
        <v>31</v>
      </c>
      <c r="D7" t="s">
        <v>32</v>
      </c>
      <c r="E7">
        <v>862</v>
      </c>
      <c r="F7">
        <v>3.8</v>
      </c>
      <c r="G7">
        <v>2</v>
      </c>
      <c r="H7" t="s">
        <v>33</v>
      </c>
      <c r="I7" t="s">
        <v>34</v>
      </c>
      <c r="J7">
        <v>550</v>
      </c>
      <c r="K7">
        <v>1050</v>
      </c>
    </row>
    <row r="8" spans="1:11" x14ac:dyDescent="0.3">
      <c r="A8" s="1">
        <v>46251</v>
      </c>
      <c r="B8" t="s">
        <v>11</v>
      </c>
      <c r="C8" t="s">
        <v>35</v>
      </c>
      <c r="D8" t="s">
        <v>36</v>
      </c>
      <c r="E8">
        <v>249</v>
      </c>
      <c r="F8">
        <v>4.2</v>
      </c>
      <c r="G8">
        <v>0</v>
      </c>
      <c r="H8" t="s">
        <v>37</v>
      </c>
      <c r="I8" t="s">
        <v>38</v>
      </c>
      <c r="J8">
        <v>200</v>
      </c>
      <c r="K8">
        <v>380</v>
      </c>
    </row>
    <row r="9" spans="1:11" x14ac:dyDescent="0.3">
      <c r="A9" s="1">
        <v>46251</v>
      </c>
      <c r="B9" t="s">
        <v>11</v>
      </c>
      <c r="C9" t="s">
        <v>39</v>
      </c>
      <c r="D9" t="s">
        <v>40</v>
      </c>
      <c r="E9">
        <v>218</v>
      </c>
      <c r="F9">
        <v>9.1999999999999993</v>
      </c>
      <c r="G9">
        <v>0</v>
      </c>
      <c r="H9" t="s">
        <v>41</v>
      </c>
      <c r="I9" t="s">
        <v>42</v>
      </c>
      <c r="J9">
        <v>220</v>
      </c>
      <c r="K9">
        <v>390</v>
      </c>
    </row>
    <row r="10" spans="1:11" x14ac:dyDescent="0.3">
      <c r="A10" s="1">
        <v>46252</v>
      </c>
      <c r="B10" t="s">
        <v>11</v>
      </c>
      <c r="C10" t="s">
        <v>43</v>
      </c>
      <c r="D10" t="s">
        <v>44</v>
      </c>
      <c r="E10">
        <v>269</v>
      </c>
      <c r="F10">
        <v>6.2</v>
      </c>
      <c r="G10">
        <v>0</v>
      </c>
      <c r="H10" t="s">
        <v>37</v>
      </c>
      <c r="I10" t="s">
        <v>45</v>
      </c>
      <c r="J10">
        <v>145</v>
      </c>
      <c r="K10">
        <v>315</v>
      </c>
    </row>
    <row r="11" spans="1:11" x14ac:dyDescent="0.3">
      <c r="A11" s="1">
        <v>46252</v>
      </c>
      <c r="B11" t="s">
        <v>11</v>
      </c>
      <c r="C11" t="s">
        <v>46</v>
      </c>
      <c r="D11" t="s">
        <v>47</v>
      </c>
      <c r="E11">
        <v>776</v>
      </c>
      <c r="F11">
        <v>4</v>
      </c>
      <c r="G11">
        <v>1</v>
      </c>
      <c r="H11" t="s">
        <v>37</v>
      </c>
      <c r="I11" t="s">
        <v>48</v>
      </c>
      <c r="J11">
        <v>890</v>
      </c>
      <c r="K11">
        <v>1300</v>
      </c>
    </row>
    <row r="12" spans="1:11" x14ac:dyDescent="0.3">
      <c r="A12" s="1">
        <v>46253</v>
      </c>
      <c r="B12" t="s">
        <v>11</v>
      </c>
      <c r="C12" t="s">
        <v>49</v>
      </c>
      <c r="D12" t="s">
        <v>50</v>
      </c>
      <c r="E12">
        <v>137</v>
      </c>
      <c r="F12">
        <v>10</v>
      </c>
      <c r="G12">
        <v>0</v>
      </c>
      <c r="H12" t="s">
        <v>51</v>
      </c>
      <c r="I12" t="s">
        <v>52</v>
      </c>
      <c r="J12">
        <v>175</v>
      </c>
      <c r="K12">
        <v>370</v>
      </c>
    </row>
    <row r="13" spans="1:11" x14ac:dyDescent="0.3">
      <c r="A13" s="1">
        <v>46254</v>
      </c>
      <c r="B13" t="s">
        <v>11</v>
      </c>
      <c r="C13" t="s">
        <v>53</v>
      </c>
      <c r="D13" t="s">
        <v>54</v>
      </c>
      <c r="E13">
        <v>390</v>
      </c>
      <c r="F13">
        <v>6</v>
      </c>
      <c r="G13">
        <v>1</v>
      </c>
      <c r="H13" t="s">
        <v>14</v>
      </c>
      <c r="I13" t="s">
        <v>55</v>
      </c>
      <c r="J13">
        <v>285</v>
      </c>
      <c r="K13">
        <v>410</v>
      </c>
    </row>
    <row r="14" spans="1:11" x14ac:dyDescent="0.3">
      <c r="A14" s="1">
        <v>46254</v>
      </c>
      <c r="B14" t="s">
        <v>11</v>
      </c>
      <c r="C14" t="s">
        <v>56</v>
      </c>
      <c r="D14" t="s">
        <v>57</v>
      </c>
      <c r="E14">
        <v>267</v>
      </c>
      <c r="F14">
        <v>4.2</v>
      </c>
      <c r="G14">
        <v>0</v>
      </c>
      <c r="H14" t="s">
        <v>14</v>
      </c>
      <c r="I14" t="s">
        <v>58</v>
      </c>
      <c r="J14">
        <v>150</v>
      </c>
      <c r="K14">
        <v>530</v>
      </c>
    </row>
    <row r="15" spans="1:11" x14ac:dyDescent="0.3">
      <c r="A15" s="1">
        <v>46254</v>
      </c>
      <c r="B15" t="s">
        <v>11</v>
      </c>
      <c r="C15" t="s">
        <v>59</v>
      </c>
      <c r="D15" t="s">
        <v>60</v>
      </c>
      <c r="E15">
        <v>249</v>
      </c>
      <c r="F15">
        <v>6.2</v>
      </c>
      <c r="G15">
        <v>0</v>
      </c>
      <c r="H15" t="s">
        <v>26</v>
      </c>
      <c r="I15" t="s">
        <v>61</v>
      </c>
      <c r="J15">
        <v>175</v>
      </c>
      <c r="K15">
        <v>270</v>
      </c>
    </row>
    <row r="16" spans="1:11" x14ac:dyDescent="0.3">
      <c r="A16" s="1">
        <v>46256</v>
      </c>
      <c r="B16" t="s">
        <v>11</v>
      </c>
      <c r="C16" t="s">
        <v>62</v>
      </c>
      <c r="D16" t="s">
        <v>63</v>
      </c>
      <c r="E16">
        <v>852</v>
      </c>
      <c r="F16">
        <v>3.8</v>
      </c>
      <c r="G16">
        <v>2</v>
      </c>
      <c r="H16" t="s">
        <v>64</v>
      </c>
      <c r="I16" t="s">
        <v>65</v>
      </c>
      <c r="J16">
        <v>770</v>
      </c>
      <c r="K16">
        <v>1150</v>
      </c>
    </row>
    <row r="17" spans="1:11" x14ac:dyDescent="0.3">
      <c r="A17" s="1">
        <v>46256</v>
      </c>
      <c r="B17" t="s">
        <v>11</v>
      </c>
      <c r="C17" t="s">
        <v>66</v>
      </c>
      <c r="D17" t="s">
        <v>67</v>
      </c>
      <c r="E17">
        <v>839</v>
      </c>
      <c r="F17">
        <v>4</v>
      </c>
      <c r="G17">
        <v>1</v>
      </c>
      <c r="H17" t="s">
        <v>26</v>
      </c>
      <c r="I17" t="s">
        <v>34</v>
      </c>
      <c r="J17">
        <v>780</v>
      </c>
      <c r="K17">
        <v>1150</v>
      </c>
    </row>
    <row r="18" spans="1:11" x14ac:dyDescent="0.3">
      <c r="A18" s="1">
        <v>46256</v>
      </c>
      <c r="B18" t="s">
        <v>11</v>
      </c>
      <c r="C18" t="s">
        <v>20</v>
      </c>
      <c r="D18" t="s">
        <v>21</v>
      </c>
      <c r="E18">
        <v>248</v>
      </c>
      <c r="F18">
        <v>4.2</v>
      </c>
      <c r="G18">
        <v>0</v>
      </c>
      <c r="H18" t="s">
        <v>22</v>
      </c>
      <c r="I18" t="s">
        <v>68</v>
      </c>
      <c r="J18">
        <v>275</v>
      </c>
      <c r="K18">
        <v>510</v>
      </c>
    </row>
    <row r="19" spans="1:11" x14ac:dyDescent="0.3">
      <c r="A19" s="1">
        <v>46256</v>
      </c>
      <c r="B19" t="s">
        <v>11</v>
      </c>
      <c r="C19" t="s">
        <v>69</v>
      </c>
      <c r="D19" t="s">
        <v>70</v>
      </c>
      <c r="E19">
        <v>732</v>
      </c>
      <c r="F19">
        <v>5.8</v>
      </c>
      <c r="G19">
        <v>2</v>
      </c>
      <c r="H19" t="s">
        <v>33</v>
      </c>
      <c r="I19" t="s">
        <v>71</v>
      </c>
      <c r="J19">
        <v>700</v>
      </c>
      <c r="K19">
        <v>950</v>
      </c>
    </row>
    <row r="20" spans="1:11" x14ac:dyDescent="0.3">
      <c r="A20" s="1">
        <v>46257</v>
      </c>
      <c r="B20" t="s">
        <v>11</v>
      </c>
      <c r="C20" t="s">
        <v>35</v>
      </c>
      <c r="D20" t="s">
        <v>36</v>
      </c>
      <c r="E20">
        <v>249</v>
      </c>
      <c r="F20">
        <v>4.2</v>
      </c>
      <c r="G20">
        <v>0</v>
      </c>
      <c r="H20" t="s">
        <v>37</v>
      </c>
      <c r="I20" t="s">
        <v>72</v>
      </c>
      <c r="J20">
        <v>235</v>
      </c>
      <c r="K20">
        <v>345</v>
      </c>
    </row>
    <row r="21" spans="1:11" x14ac:dyDescent="0.3">
      <c r="A21" s="1">
        <v>46257</v>
      </c>
      <c r="B21" t="s">
        <v>11</v>
      </c>
      <c r="C21" t="s">
        <v>31</v>
      </c>
      <c r="D21" t="s">
        <v>32</v>
      </c>
      <c r="E21">
        <v>863</v>
      </c>
      <c r="F21">
        <v>3.8</v>
      </c>
      <c r="G21">
        <v>2</v>
      </c>
      <c r="H21" t="s">
        <v>33</v>
      </c>
      <c r="I21" t="s">
        <v>73</v>
      </c>
      <c r="J21">
        <v>660</v>
      </c>
      <c r="K21">
        <v>1050</v>
      </c>
    </row>
    <row r="22" spans="1:11" x14ac:dyDescent="0.3">
      <c r="A22" s="1">
        <v>46258</v>
      </c>
      <c r="B22" t="s">
        <v>11</v>
      </c>
      <c r="C22" t="s">
        <v>24</v>
      </c>
      <c r="D22" t="s">
        <v>25</v>
      </c>
      <c r="E22">
        <v>839</v>
      </c>
      <c r="F22">
        <v>3.8</v>
      </c>
      <c r="G22">
        <v>2</v>
      </c>
      <c r="H22" t="s">
        <v>33</v>
      </c>
      <c r="I22" t="s">
        <v>74</v>
      </c>
      <c r="J22">
        <v>620</v>
      </c>
      <c r="K22">
        <v>1050</v>
      </c>
    </row>
    <row r="23" spans="1:11" x14ac:dyDescent="0.3">
      <c r="A23" s="1">
        <v>46258</v>
      </c>
      <c r="B23" t="s">
        <v>11</v>
      </c>
      <c r="C23" t="s">
        <v>28</v>
      </c>
      <c r="D23" t="s">
        <v>29</v>
      </c>
      <c r="E23">
        <v>414</v>
      </c>
      <c r="F23">
        <v>6</v>
      </c>
      <c r="G23">
        <v>1</v>
      </c>
      <c r="H23" t="s">
        <v>37</v>
      </c>
      <c r="I23" t="s">
        <v>71</v>
      </c>
      <c r="J23">
        <v>340</v>
      </c>
      <c r="K23">
        <v>520</v>
      </c>
    </row>
    <row r="24" spans="1:11" x14ac:dyDescent="0.3">
      <c r="A24" s="1">
        <v>46258</v>
      </c>
      <c r="B24" t="s">
        <v>11</v>
      </c>
      <c r="C24" t="s">
        <v>16</v>
      </c>
      <c r="D24" t="s">
        <v>17</v>
      </c>
      <c r="E24">
        <v>219</v>
      </c>
      <c r="F24">
        <v>4</v>
      </c>
      <c r="G24">
        <v>1</v>
      </c>
      <c r="H24" t="s">
        <v>41</v>
      </c>
      <c r="I24" t="s">
        <v>75</v>
      </c>
      <c r="J24">
        <v>85</v>
      </c>
      <c r="K24">
        <v>365</v>
      </c>
    </row>
    <row r="25" spans="1:11" x14ac:dyDescent="0.3">
      <c r="A25" s="1">
        <v>46258</v>
      </c>
      <c r="B25" t="s">
        <v>11</v>
      </c>
      <c r="C25" t="s">
        <v>12</v>
      </c>
      <c r="D25" t="s">
        <v>13</v>
      </c>
      <c r="E25">
        <v>249</v>
      </c>
      <c r="F25">
        <v>4.2</v>
      </c>
      <c r="G25">
        <v>0</v>
      </c>
      <c r="H25" t="s">
        <v>14</v>
      </c>
      <c r="I25" t="s">
        <v>76</v>
      </c>
      <c r="J25">
        <v>175</v>
      </c>
      <c r="K25">
        <v>250</v>
      </c>
    </row>
    <row r="26" spans="1:11" x14ac:dyDescent="0.3">
      <c r="A26" s="1">
        <v>46259</v>
      </c>
      <c r="B26" t="s">
        <v>11</v>
      </c>
      <c r="C26" t="s">
        <v>43</v>
      </c>
      <c r="D26" t="s">
        <v>44</v>
      </c>
      <c r="E26">
        <v>284</v>
      </c>
      <c r="F26">
        <v>6</v>
      </c>
      <c r="G26">
        <v>1</v>
      </c>
      <c r="H26" t="s">
        <v>77</v>
      </c>
      <c r="I26" t="s">
        <v>68</v>
      </c>
      <c r="J26">
        <v>205</v>
      </c>
      <c r="K26">
        <v>340</v>
      </c>
    </row>
    <row r="27" spans="1:11" x14ac:dyDescent="0.3">
      <c r="A27" s="1">
        <v>46259</v>
      </c>
      <c r="B27" t="s">
        <v>11</v>
      </c>
      <c r="C27" t="s">
        <v>39</v>
      </c>
      <c r="D27" t="s">
        <v>40</v>
      </c>
      <c r="E27">
        <v>257</v>
      </c>
      <c r="F27">
        <v>8</v>
      </c>
      <c r="G27">
        <v>1</v>
      </c>
      <c r="H27" t="s">
        <v>77</v>
      </c>
      <c r="I27" t="s">
        <v>78</v>
      </c>
      <c r="J27">
        <v>280</v>
      </c>
      <c r="K27">
        <v>420</v>
      </c>
    </row>
    <row r="28" spans="1:11" x14ac:dyDescent="0.3">
      <c r="A28" s="1">
        <v>46259</v>
      </c>
      <c r="B28" t="s">
        <v>11</v>
      </c>
      <c r="C28" t="s">
        <v>79</v>
      </c>
      <c r="D28" t="s">
        <v>80</v>
      </c>
      <c r="E28">
        <v>108</v>
      </c>
      <c r="F28">
        <v>10</v>
      </c>
      <c r="G28">
        <v>0</v>
      </c>
      <c r="H28" t="s">
        <v>41</v>
      </c>
      <c r="I28" t="s">
        <v>81</v>
      </c>
      <c r="J28">
        <v>185</v>
      </c>
      <c r="K28">
        <v>415</v>
      </c>
    </row>
    <row r="29" spans="1:11" x14ac:dyDescent="0.3">
      <c r="A29" s="1">
        <v>46259</v>
      </c>
      <c r="B29" t="s">
        <v>11</v>
      </c>
      <c r="C29" t="s">
        <v>46</v>
      </c>
      <c r="D29" t="s">
        <v>47</v>
      </c>
      <c r="E29">
        <v>715</v>
      </c>
      <c r="F29">
        <v>6</v>
      </c>
      <c r="G29">
        <v>1</v>
      </c>
      <c r="H29" t="s">
        <v>26</v>
      </c>
      <c r="I29" t="s">
        <v>82</v>
      </c>
      <c r="J29">
        <v>680</v>
      </c>
      <c r="K29">
        <v>1150</v>
      </c>
    </row>
    <row r="30" spans="1:11" x14ac:dyDescent="0.3">
      <c r="A30" s="1">
        <v>46260</v>
      </c>
      <c r="B30" t="s">
        <v>11</v>
      </c>
      <c r="C30" t="s">
        <v>49</v>
      </c>
      <c r="D30" t="s">
        <v>50</v>
      </c>
      <c r="E30">
        <v>127</v>
      </c>
      <c r="F30">
        <v>10</v>
      </c>
      <c r="G30">
        <v>0</v>
      </c>
      <c r="H30" t="s">
        <v>51</v>
      </c>
      <c r="I30" t="s">
        <v>83</v>
      </c>
      <c r="J30">
        <v>195</v>
      </c>
      <c r="K30">
        <v>380</v>
      </c>
    </row>
    <row r="31" spans="1:11" x14ac:dyDescent="0.3">
      <c r="A31" s="1">
        <v>46260</v>
      </c>
      <c r="B31" t="s">
        <v>11</v>
      </c>
      <c r="C31" t="s">
        <v>84</v>
      </c>
      <c r="D31" t="s">
        <v>85</v>
      </c>
      <c r="E31">
        <v>138</v>
      </c>
      <c r="F31">
        <v>8.1999999999999993</v>
      </c>
      <c r="G31">
        <v>0</v>
      </c>
      <c r="H31" t="s">
        <v>77</v>
      </c>
      <c r="I31" t="s">
        <v>86</v>
      </c>
      <c r="J31">
        <v>75</v>
      </c>
      <c r="K31">
        <v>280</v>
      </c>
    </row>
    <row r="32" spans="1:11" x14ac:dyDescent="0.3">
      <c r="A32" s="1">
        <v>46261</v>
      </c>
      <c r="B32" t="s">
        <v>11</v>
      </c>
      <c r="C32" t="s">
        <v>87</v>
      </c>
      <c r="D32" t="s">
        <v>88</v>
      </c>
      <c r="E32">
        <v>128</v>
      </c>
      <c r="F32">
        <v>10</v>
      </c>
      <c r="G32">
        <v>0</v>
      </c>
      <c r="H32" t="s">
        <v>41</v>
      </c>
      <c r="I32" t="s">
        <v>89</v>
      </c>
      <c r="J32">
        <v>180</v>
      </c>
      <c r="K32">
        <v>365</v>
      </c>
    </row>
    <row r="33" spans="1:11" x14ac:dyDescent="0.3">
      <c r="A33" s="1">
        <v>46261</v>
      </c>
      <c r="B33" t="s">
        <v>11</v>
      </c>
      <c r="C33" t="s">
        <v>53</v>
      </c>
      <c r="D33" t="s">
        <v>54</v>
      </c>
      <c r="E33">
        <v>390</v>
      </c>
      <c r="F33">
        <v>6</v>
      </c>
      <c r="G33">
        <v>1</v>
      </c>
      <c r="H33" t="s">
        <v>14</v>
      </c>
      <c r="I33" t="s">
        <v>71</v>
      </c>
      <c r="J33">
        <v>315</v>
      </c>
      <c r="K33">
        <v>475</v>
      </c>
    </row>
    <row r="34" spans="1:11" x14ac:dyDescent="0.3">
      <c r="A34" s="1">
        <v>46261</v>
      </c>
      <c r="B34" t="s">
        <v>11</v>
      </c>
      <c r="C34" t="s">
        <v>90</v>
      </c>
      <c r="D34" t="s">
        <v>91</v>
      </c>
      <c r="E34">
        <v>238</v>
      </c>
      <c r="F34">
        <v>7</v>
      </c>
      <c r="G34">
        <v>1</v>
      </c>
      <c r="H34" t="s">
        <v>77</v>
      </c>
      <c r="I34" t="s">
        <v>92</v>
      </c>
      <c r="J34">
        <v>210</v>
      </c>
      <c r="K34">
        <v>485</v>
      </c>
    </row>
    <row r="35" spans="1:11" x14ac:dyDescent="0.3">
      <c r="A35" s="1">
        <v>46261</v>
      </c>
      <c r="B35" t="s">
        <v>11</v>
      </c>
      <c r="C35" t="s">
        <v>56</v>
      </c>
      <c r="D35" t="s">
        <v>57</v>
      </c>
      <c r="E35">
        <v>323</v>
      </c>
      <c r="F35">
        <v>3.8</v>
      </c>
      <c r="G35">
        <v>2</v>
      </c>
      <c r="H35" t="s">
        <v>14</v>
      </c>
      <c r="I35" t="s">
        <v>93</v>
      </c>
      <c r="J35">
        <v>90</v>
      </c>
      <c r="K35">
        <v>270</v>
      </c>
    </row>
    <row r="36" spans="1:11" x14ac:dyDescent="0.3">
      <c r="A36" s="1">
        <v>46262</v>
      </c>
      <c r="B36" t="s">
        <v>11</v>
      </c>
      <c r="C36" t="s">
        <v>62</v>
      </c>
      <c r="D36" t="s">
        <v>63</v>
      </c>
      <c r="E36">
        <v>778</v>
      </c>
      <c r="F36">
        <v>5.8</v>
      </c>
      <c r="G36">
        <v>2</v>
      </c>
      <c r="H36" t="s">
        <v>26</v>
      </c>
      <c r="I36" t="s">
        <v>94</v>
      </c>
      <c r="J36">
        <v>700</v>
      </c>
      <c r="K36">
        <v>1150</v>
      </c>
    </row>
    <row r="37" spans="1:11" x14ac:dyDescent="0.3">
      <c r="A37" s="1">
        <v>46262</v>
      </c>
      <c r="B37" t="s">
        <v>11</v>
      </c>
      <c r="C37" t="s">
        <v>59</v>
      </c>
      <c r="D37" t="s">
        <v>60</v>
      </c>
      <c r="E37">
        <v>200</v>
      </c>
      <c r="F37">
        <v>7</v>
      </c>
      <c r="G37">
        <v>1</v>
      </c>
      <c r="H37" t="s">
        <v>77</v>
      </c>
      <c r="I37" t="s">
        <v>15</v>
      </c>
      <c r="J37">
        <v>205</v>
      </c>
      <c r="K37">
        <v>285</v>
      </c>
    </row>
    <row r="38" spans="1:11" x14ac:dyDescent="0.3">
      <c r="A38" s="1">
        <v>46262</v>
      </c>
      <c r="B38" t="s">
        <v>11</v>
      </c>
      <c r="C38" t="s">
        <v>79</v>
      </c>
      <c r="D38" t="s">
        <v>80</v>
      </c>
      <c r="E38">
        <v>206</v>
      </c>
      <c r="F38">
        <v>6.2</v>
      </c>
      <c r="G38">
        <v>0</v>
      </c>
      <c r="H38" t="s">
        <v>41</v>
      </c>
      <c r="I38" t="s">
        <v>95</v>
      </c>
      <c r="J38">
        <v>200</v>
      </c>
      <c r="K38">
        <v>400</v>
      </c>
    </row>
    <row r="39" spans="1:11" x14ac:dyDescent="0.3">
      <c r="A39" s="1">
        <v>46263</v>
      </c>
      <c r="B39" t="s">
        <v>11</v>
      </c>
      <c r="C39" t="s">
        <v>96</v>
      </c>
      <c r="D39" t="s">
        <v>97</v>
      </c>
      <c r="E39">
        <v>589</v>
      </c>
      <c r="F39">
        <v>5.8</v>
      </c>
      <c r="G39">
        <v>2</v>
      </c>
      <c r="H39" t="s">
        <v>22</v>
      </c>
      <c r="I39" t="s">
        <v>78</v>
      </c>
      <c r="J39">
        <v>590</v>
      </c>
      <c r="K39">
        <v>710</v>
      </c>
    </row>
    <row r="40" spans="1:11" x14ac:dyDescent="0.3">
      <c r="A40" s="1">
        <v>46263</v>
      </c>
      <c r="B40" t="s">
        <v>11</v>
      </c>
      <c r="C40" t="s">
        <v>20</v>
      </c>
      <c r="D40" t="s">
        <v>21</v>
      </c>
      <c r="E40">
        <v>327</v>
      </c>
      <c r="F40">
        <v>4</v>
      </c>
      <c r="G40">
        <v>1</v>
      </c>
      <c r="H40" t="s">
        <v>77</v>
      </c>
      <c r="I40" t="s">
        <v>98</v>
      </c>
      <c r="J40">
        <v>270</v>
      </c>
      <c r="K40">
        <v>550</v>
      </c>
    </row>
    <row r="41" spans="1:11" x14ac:dyDescent="0.3">
      <c r="A41" s="1">
        <v>46263</v>
      </c>
      <c r="B41" t="s">
        <v>11</v>
      </c>
      <c r="C41" t="s">
        <v>66</v>
      </c>
      <c r="D41" t="s">
        <v>67</v>
      </c>
      <c r="E41">
        <v>823</v>
      </c>
      <c r="F41">
        <v>4</v>
      </c>
      <c r="G41">
        <v>1</v>
      </c>
      <c r="H41" t="s">
        <v>18</v>
      </c>
      <c r="I41" t="s">
        <v>99</v>
      </c>
      <c r="J41">
        <v>680</v>
      </c>
      <c r="K41">
        <v>1050</v>
      </c>
    </row>
    <row r="42" spans="1:11" x14ac:dyDescent="0.3">
      <c r="A42" s="1">
        <v>46263</v>
      </c>
      <c r="B42" t="s">
        <v>11</v>
      </c>
      <c r="C42" t="s">
        <v>100</v>
      </c>
      <c r="D42" t="s">
        <v>101</v>
      </c>
      <c r="E42">
        <v>148</v>
      </c>
      <c r="F42">
        <v>7.2</v>
      </c>
      <c r="G42">
        <v>0</v>
      </c>
      <c r="H42" t="s">
        <v>41</v>
      </c>
      <c r="I42" t="s">
        <v>102</v>
      </c>
      <c r="J42">
        <v>125</v>
      </c>
      <c r="K42">
        <v>320</v>
      </c>
    </row>
    <row r="43" spans="1:11" x14ac:dyDescent="0.3">
      <c r="A43" s="1">
        <v>46263</v>
      </c>
      <c r="B43" t="s">
        <v>11</v>
      </c>
      <c r="C43" t="s">
        <v>103</v>
      </c>
      <c r="D43" t="s">
        <v>104</v>
      </c>
      <c r="E43">
        <v>474</v>
      </c>
      <c r="F43">
        <v>8</v>
      </c>
      <c r="G43">
        <v>1</v>
      </c>
      <c r="H43" t="s">
        <v>18</v>
      </c>
      <c r="I43" t="s">
        <v>99</v>
      </c>
      <c r="J43">
        <v>300</v>
      </c>
      <c r="K43">
        <v>500</v>
      </c>
    </row>
    <row r="44" spans="1:11" x14ac:dyDescent="0.3">
      <c r="A44" s="1">
        <v>46263</v>
      </c>
      <c r="B44" t="s">
        <v>11</v>
      </c>
      <c r="C44" t="s">
        <v>69</v>
      </c>
      <c r="D44" t="s">
        <v>70</v>
      </c>
      <c r="E44">
        <v>703</v>
      </c>
      <c r="F44">
        <v>6</v>
      </c>
      <c r="G44">
        <v>1</v>
      </c>
      <c r="H44" t="s">
        <v>37</v>
      </c>
      <c r="I44" t="s">
        <v>30</v>
      </c>
      <c r="J44">
        <v>485</v>
      </c>
      <c r="K44">
        <v>930</v>
      </c>
    </row>
    <row r="45" spans="1:11" x14ac:dyDescent="0.3">
      <c r="A45" s="1">
        <v>46264</v>
      </c>
      <c r="B45" t="s">
        <v>11</v>
      </c>
      <c r="C45" t="s">
        <v>79</v>
      </c>
      <c r="D45" t="s">
        <v>80</v>
      </c>
      <c r="E45">
        <v>201</v>
      </c>
      <c r="F45">
        <v>6.2</v>
      </c>
      <c r="G45">
        <v>0</v>
      </c>
      <c r="H45" t="s">
        <v>41</v>
      </c>
      <c r="I45" t="s">
        <v>105</v>
      </c>
      <c r="J45">
        <v>175</v>
      </c>
      <c r="K45">
        <v>405</v>
      </c>
    </row>
    <row r="46" spans="1:11" x14ac:dyDescent="0.3">
      <c r="A46" s="1">
        <v>46264</v>
      </c>
      <c r="B46" t="s">
        <v>11</v>
      </c>
      <c r="C46" t="s">
        <v>35</v>
      </c>
      <c r="D46" t="s">
        <v>36</v>
      </c>
      <c r="E46">
        <v>269</v>
      </c>
      <c r="F46">
        <v>4.2</v>
      </c>
      <c r="G46">
        <v>0</v>
      </c>
      <c r="H46" t="s">
        <v>37</v>
      </c>
      <c r="I46" t="s">
        <v>76</v>
      </c>
      <c r="J46">
        <v>215</v>
      </c>
      <c r="K46">
        <v>270</v>
      </c>
    </row>
    <row r="47" spans="1:11" x14ac:dyDescent="0.3">
      <c r="A47" s="1">
        <v>46264</v>
      </c>
      <c r="B47" t="s">
        <v>11</v>
      </c>
      <c r="C47" t="s">
        <v>31</v>
      </c>
      <c r="D47" t="s">
        <v>32</v>
      </c>
      <c r="E47">
        <v>876</v>
      </c>
      <c r="F47">
        <v>3.8</v>
      </c>
      <c r="G47">
        <v>2</v>
      </c>
      <c r="H47" t="s">
        <v>26</v>
      </c>
      <c r="I47" t="s">
        <v>106</v>
      </c>
      <c r="J47">
        <v>650</v>
      </c>
      <c r="K47">
        <v>1100</v>
      </c>
    </row>
    <row r="48" spans="1:11" x14ac:dyDescent="0.3">
      <c r="A48" s="1">
        <v>46265</v>
      </c>
      <c r="B48" t="s">
        <v>11</v>
      </c>
      <c r="C48" t="s">
        <v>28</v>
      </c>
      <c r="D48" t="s">
        <v>29</v>
      </c>
      <c r="E48">
        <v>414</v>
      </c>
      <c r="F48">
        <v>6</v>
      </c>
      <c r="G48">
        <v>1</v>
      </c>
      <c r="H48" t="s">
        <v>14</v>
      </c>
      <c r="I48" t="s">
        <v>107</v>
      </c>
      <c r="J48">
        <v>310</v>
      </c>
      <c r="K48">
        <v>445</v>
      </c>
    </row>
    <row r="49" spans="1:11" x14ac:dyDescent="0.3">
      <c r="A49" s="1">
        <v>46265</v>
      </c>
      <c r="B49" t="s">
        <v>11</v>
      </c>
      <c r="C49" t="s">
        <v>24</v>
      </c>
      <c r="D49" t="s">
        <v>25</v>
      </c>
      <c r="E49">
        <v>880</v>
      </c>
      <c r="F49">
        <v>4</v>
      </c>
      <c r="G49">
        <v>1</v>
      </c>
      <c r="H49" t="s">
        <v>108</v>
      </c>
      <c r="I49" t="s">
        <v>109</v>
      </c>
      <c r="J49">
        <v>710</v>
      </c>
      <c r="K49">
        <v>1100</v>
      </c>
    </row>
    <row r="50" spans="1:11" x14ac:dyDescent="0.3">
      <c r="A50" s="1">
        <v>46265</v>
      </c>
      <c r="B50" t="s">
        <v>11</v>
      </c>
      <c r="C50" t="s">
        <v>12</v>
      </c>
      <c r="D50" t="s">
        <v>13</v>
      </c>
      <c r="E50">
        <v>269</v>
      </c>
      <c r="F50">
        <v>4.2</v>
      </c>
      <c r="G50">
        <v>0</v>
      </c>
      <c r="H50" t="s">
        <v>14</v>
      </c>
      <c r="I50" t="s">
        <v>38</v>
      </c>
      <c r="J50">
        <v>175</v>
      </c>
      <c r="K50">
        <v>365</v>
      </c>
    </row>
    <row r="51" spans="1:11" x14ac:dyDescent="0.3">
      <c r="A51" s="1">
        <v>46266</v>
      </c>
      <c r="B51" t="s">
        <v>11</v>
      </c>
      <c r="C51" t="s">
        <v>43</v>
      </c>
      <c r="D51" t="s">
        <v>44</v>
      </c>
      <c r="E51">
        <v>312</v>
      </c>
      <c r="F51">
        <v>4</v>
      </c>
      <c r="G51">
        <v>1</v>
      </c>
      <c r="H51" t="s">
        <v>22</v>
      </c>
      <c r="I51" t="s">
        <v>75</v>
      </c>
      <c r="J51">
        <v>145</v>
      </c>
      <c r="K51">
        <v>365</v>
      </c>
    </row>
    <row r="52" spans="1:11" x14ac:dyDescent="0.3">
      <c r="A52" s="1">
        <v>46266</v>
      </c>
      <c r="B52" t="s">
        <v>11</v>
      </c>
      <c r="C52" t="s">
        <v>79</v>
      </c>
      <c r="D52" t="s">
        <v>80</v>
      </c>
      <c r="E52">
        <v>188</v>
      </c>
      <c r="F52">
        <v>6.2</v>
      </c>
      <c r="G52">
        <v>0</v>
      </c>
      <c r="H52" t="s">
        <v>41</v>
      </c>
      <c r="I52" t="s">
        <v>110</v>
      </c>
      <c r="J52">
        <v>185</v>
      </c>
      <c r="K52">
        <v>425</v>
      </c>
    </row>
    <row r="53" spans="1:11" x14ac:dyDescent="0.3">
      <c r="A53" s="1">
        <v>46266</v>
      </c>
      <c r="B53" t="s">
        <v>11</v>
      </c>
      <c r="C53" t="s">
        <v>39</v>
      </c>
      <c r="D53" t="s">
        <v>40</v>
      </c>
      <c r="E53">
        <v>284</v>
      </c>
      <c r="F53">
        <v>7</v>
      </c>
      <c r="G53">
        <v>1</v>
      </c>
      <c r="H53" t="s">
        <v>41</v>
      </c>
      <c r="I53" t="s">
        <v>111</v>
      </c>
      <c r="J53">
        <v>250</v>
      </c>
      <c r="K53">
        <v>400</v>
      </c>
    </row>
    <row r="54" spans="1:11" x14ac:dyDescent="0.3">
      <c r="A54" s="1">
        <v>46266</v>
      </c>
      <c r="B54" t="s">
        <v>11</v>
      </c>
      <c r="C54" t="s">
        <v>112</v>
      </c>
      <c r="D54" t="s">
        <v>113</v>
      </c>
      <c r="E54">
        <v>262</v>
      </c>
      <c r="F54">
        <v>4</v>
      </c>
      <c r="G54">
        <v>1</v>
      </c>
      <c r="H54" t="s">
        <v>77</v>
      </c>
      <c r="I54" t="s">
        <v>45</v>
      </c>
      <c r="J54">
        <v>180</v>
      </c>
      <c r="K54">
        <v>340</v>
      </c>
    </row>
    <row r="55" spans="1:11" x14ac:dyDescent="0.3">
      <c r="A55" s="1">
        <v>46266</v>
      </c>
      <c r="B55" t="s">
        <v>11</v>
      </c>
      <c r="C55" t="s">
        <v>20</v>
      </c>
      <c r="D55" t="s">
        <v>21</v>
      </c>
      <c r="E55">
        <v>321</v>
      </c>
      <c r="F55">
        <v>4.2</v>
      </c>
      <c r="G55">
        <v>0</v>
      </c>
      <c r="H55" t="s">
        <v>22</v>
      </c>
      <c r="I55" t="s">
        <v>114</v>
      </c>
      <c r="J55">
        <v>245</v>
      </c>
      <c r="K55">
        <v>500</v>
      </c>
    </row>
    <row r="56" spans="1:11" x14ac:dyDescent="0.3">
      <c r="A56" s="1">
        <v>46266</v>
      </c>
      <c r="B56" t="s">
        <v>11</v>
      </c>
      <c r="C56" t="s">
        <v>16</v>
      </c>
      <c r="D56" t="s">
        <v>17</v>
      </c>
      <c r="E56">
        <v>179</v>
      </c>
      <c r="F56">
        <v>6</v>
      </c>
      <c r="G56">
        <v>1</v>
      </c>
      <c r="H56" t="s">
        <v>41</v>
      </c>
      <c r="I56" t="s">
        <v>115</v>
      </c>
      <c r="J56">
        <v>95</v>
      </c>
      <c r="K56">
        <v>265</v>
      </c>
    </row>
    <row r="57" spans="1:11" x14ac:dyDescent="0.3">
      <c r="A57" s="1">
        <v>46266</v>
      </c>
      <c r="B57" t="s">
        <v>11</v>
      </c>
      <c r="C57" t="s">
        <v>46</v>
      </c>
      <c r="D57" t="s">
        <v>47</v>
      </c>
      <c r="E57">
        <v>714</v>
      </c>
      <c r="F57">
        <v>6</v>
      </c>
      <c r="G57">
        <v>1</v>
      </c>
      <c r="H57" t="s">
        <v>26</v>
      </c>
      <c r="I57" t="s">
        <v>30</v>
      </c>
      <c r="J57">
        <v>550</v>
      </c>
      <c r="K57">
        <v>970</v>
      </c>
    </row>
    <row r="58" spans="1:11" x14ac:dyDescent="0.3">
      <c r="A58" s="1">
        <v>46267</v>
      </c>
      <c r="B58" t="s">
        <v>11</v>
      </c>
      <c r="C58" t="s">
        <v>116</v>
      </c>
      <c r="D58" t="s">
        <v>117</v>
      </c>
      <c r="E58">
        <v>385</v>
      </c>
      <c r="F58">
        <v>7</v>
      </c>
      <c r="G58">
        <v>1</v>
      </c>
      <c r="H58" t="s">
        <v>14</v>
      </c>
      <c r="I58" t="s">
        <v>118</v>
      </c>
      <c r="J58">
        <v>260</v>
      </c>
      <c r="K58">
        <v>370</v>
      </c>
    </row>
    <row r="59" spans="1:11" x14ac:dyDescent="0.3">
      <c r="A59" s="1">
        <v>46267</v>
      </c>
      <c r="B59" t="s">
        <v>11</v>
      </c>
      <c r="C59" t="s">
        <v>49</v>
      </c>
      <c r="D59" t="s">
        <v>50</v>
      </c>
      <c r="E59">
        <v>174</v>
      </c>
      <c r="F59">
        <v>7.2</v>
      </c>
      <c r="G59">
        <v>0</v>
      </c>
      <c r="H59" t="s">
        <v>51</v>
      </c>
      <c r="I59" t="s">
        <v>119</v>
      </c>
      <c r="J59">
        <v>175</v>
      </c>
      <c r="K59">
        <v>380</v>
      </c>
    </row>
    <row r="60" spans="1:11" x14ac:dyDescent="0.3">
      <c r="A60" s="1">
        <v>46267</v>
      </c>
      <c r="B60" t="s">
        <v>11</v>
      </c>
      <c r="C60" t="s">
        <v>84</v>
      </c>
      <c r="D60" t="s">
        <v>85</v>
      </c>
      <c r="E60">
        <v>98</v>
      </c>
      <c r="F60">
        <v>10</v>
      </c>
      <c r="G60">
        <v>0</v>
      </c>
      <c r="H60" t="s">
        <v>77</v>
      </c>
      <c r="I60" t="s">
        <v>86</v>
      </c>
      <c r="J60">
        <v>75</v>
      </c>
      <c r="K60">
        <v>280</v>
      </c>
    </row>
    <row r="61" spans="1:11" x14ac:dyDescent="0.3">
      <c r="A61" s="1">
        <v>46268</v>
      </c>
      <c r="B61" t="s">
        <v>11</v>
      </c>
      <c r="C61" t="s">
        <v>87</v>
      </c>
      <c r="D61" t="s">
        <v>88</v>
      </c>
      <c r="E61">
        <v>218</v>
      </c>
      <c r="F61">
        <v>6.2</v>
      </c>
      <c r="G61">
        <v>0</v>
      </c>
      <c r="H61" t="s">
        <v>41</v>
      </c>
      <c r="I61" t="s">
        <v>120</v>
      </c>
      <c r="J61">
        <v>305</v>
      </c>
      <c r="K61">
        <v>580</v>
      </c>
    </row>
    <row r="62" spans="1:11" x14ac:dyDescent="0.3">
      <c r="A62" s="1">
        <v>46268</v>
      </c>
      <c r="B62" t="s">
        <v>11</v>
      </c>
      <c r="C62" t="s">
        <v>100</v>
      </c>
      <c r="D62" t="s">
        <v>101</v>
      </c>
      <c r="E62">
        <v>133</v>
      </c>
      <c r="F62">
        <v>8.1999999999999993</v>
      </c>
      <c r="G62">
        <v>0</v>
      </c>
      <c r="H62" t="s">
        <v>41</v>
      </c>
      <c r="I62" t="s">
        <v>121</v>
      </c>
      <c r="J62">
        <v>125</v>
      </c>
      <c r="K62">
        <v>320</v>
      </c>
    </row>
    <row r="63" spans="1:11" x14ac:dyDescent="0.3">
      <c r="A63" s="1">
        <v>46268</v>
      </c>
      <c r="B63" t="s">
        <v>11</v>
      </c>
      <c r="C63" t="s">
        <v>43</v>
      </c>
      <c r="D63" t="s">
        <v>44</v>
      </c>
      <c r="E63">
        <v>256</v>
      </c>
      <c r="F63">
        <v>6</v>
      </c>
      <c r="G63">
        <v>1</v>
      </c>
      <c r="H63" t="s">
        <v>77</v>
      </c>
      <c r="I63" t="s">
        <v>75</v>
      </c>
      <c r="J63">
        <v>145</v>
      </c>
      <c r="K63">
        <v>365</v>
      </c>
    </row>
    <row r="64" spans="1:11" x14ac:dyDescent="0.3">
      <c r="A64" s="1">
        <v>46268</v>
      </c>
      <c r="B64" t="s">
        <v>11</v>
      </c>
      <c r="C64" t="s">
        <v>53</v>
      </c>
      <c r="D64" t="s">
        <v>54</v>
      </c>
      <c r="E64">
        <v>398</v>
      </c>
      <c r="F64">
        <v>6</v>
      </c>
      <c r="G64">
        <v>1</v>
      </c>
      <c r="H64" t="s">
        <v>18</v>
      </c>
      <c r="I64" t="s">
        <v>122</v>
      </c>
      <c r="J64">
        <v>290</v>
      </c>
      <c r="K64">
        <v>570</v>
      </c>
    </row>
    <row r="65" spans="1:11" x14ac:dyDescent="0.3">
      <c r="A65" s="1">
        <v>46268</v>
      </c>
      <c r="B65" t="s">
        <v>11</v>
      </c>
      <c r="C65" t="s">
        <v>49</v>
      </c>
      <c r="D65" t="s">
        <v>50</v>
      </c>
      <c r="E65">
        <v>261</v>
      </c>
      <c r="F65">
        <v>4</v>
      </c>
      <c r="G65">
        <v>1</v>
      </c>
      <c r="H65" t="s">
        <v>18</v>
      </c>
      <c r="I65" t="s">
        <v>123</v>
      </c>
      <c r="J65">
        <v>200</v>
      </c>
      <c r="K65">
        <v>345</v>
      </c>
    </row>
    <row r="66" spans="1:11" x14ac:dyDescent="0.3">
      <c r="A66" s="1">
        <v>46268</v>
      </c>
      <c r="B66" t="s">
        <v>11</v>
      </c>
      <c r="C66" t="s">
        <v>20</v>
      </c>
      <c r="D66" t="s">
        <v>21</v>
      </c>
      <c r="E66">
        <v>272</v>
      </c>
      <c r="F66">
        <v>4</v>
      </c>
      <c r="G66">
        <v>1</v>
      </c>
      <c r="H66" t="s">
        <v>77</v>
      </c>
      <c r="I66" t="s">
        <v>52</v>
      </c>
      <c r="J66">
        <v>270</v>
      </c>
      <c r="K66">
        <v>550</v>
      </c>
    </row>
    <row r="67" spans="1:11" x14ac:dyDescent="0.3">
      <c r="A67" s="1">
        <v>46268</v>
      </c>
      <c r="B67" t="s">
        <v>11</v>
      </c>
      <c r="C67" t="s">
        <v>56</v>
      </c>
      <c r="D67" t="s">
        <v>57</v>
      </c>
      <c r="E67">
        <v>323</v>
      </c>
      <c r="F67">
        <v>3.8</v>
      </c>
      <c r="G67">
        <v>2</v>
      </c>
      <c r="H67" t="s">
        <v>14</v>
      </c>
      <c r="I67" t="s">
        <v>124</v>
      </c>
      <c r="J67">
        <v>155</v>
      </c>
      <c r="K67">
        <v>370</v>
      </c>
    </row>
    <row r="68" spans="1:11" x14ac:dyDescent="0.3">
      <c r="A68" s="1">
        <v>46269</v>
      </c>
      <c r="B68" t="s">
        <v>11</v>
      </c>
      <c r="C68" t="s">
        <v>62</v>
      </c>
      <c r="D68" t="s">
        <v>63</v>
      </c>
      <c r="E68">
        <v>725</v>
      </c>
      <c r="F68">
        <v>5.8</v>
      </c>
      <c r="G68">
        <v>2</v>
      </c>
      <c r="H68" t="s">
        <v>33</v>
      </c>
      <c r="I68" t="s">
        <v>125</v>
      </c>
      <c r="J68">
        <v>550</v>
      </c>
      <c r="K68">
        <v>1200</v>
      </c>
    </row>
    <row r="69" spans="1:11" x14ac:dyDescent="0.3">
      <c r="A69" s="1">
        <v>46269</v>
      </c>
      <c r="B69" t="s">
        <v>11</v>
      </c>
      <c r="C69" t="s">
        <v>90</v>
      </c>
      <c r="D69" t="s">
        <v>91</v>
      </c>
      <c r="E69">
        <v>282</v>
      </c>
      <c r="F69">
        <v>6</v>
      </c>
      <c r="G69">
        <v>1</v>
      </c>
      <c r="H69" t="s">
        <v>77</v>
      </c>
      <c r="I69" t="s">
        <v>58</v>
      </c>
      <c r="J69">
        <v>240</v>
      </c>
      <c r="K69">
        <v>580</v>
      </c>
    </row>
    <row r="70" spans="1:11" x14ac:dyDescent="0.3">
      <c r="A70" s="1">
        <v>46269</v>
      </c>
      <c r="B70" t="s">
        <v>11</v>
      </c>
      <c r="C70" t="s">
        <v>59</v>
      </c>
      <c r="D70" t="s">
        <v>60</v>
      </c>
      <c r="E70">
        <v>230</v>
      </c>
      <c r="F70">
        <v>6</v>
      </c>
      <c r="G70">
        <v>1</v>
      </c>
      <c r="H70" t="s">
        <v>77</v>
      </c>
      <c r="I70" t="s">
        <v>126</v>
      </c>
      <c r="J70">
        <v>175</v>
      </c>
      <c r="K70">
        <v>270</v>
      </c>
    </row>
    <row r="71" spans="1:11" x14ac:dyDescent="0.3">
      <c r="A71" s="1">
        <v>46270</v>
      </c>
      <c r="B71" t="s">
        <v>11</v>
      </c>
      <c r="C71" t="s">
        <v>96</v>
      </c>
      <c r="D71" t="s">
        <v>97</v>
      </c>
      <c r="E71">
        <v>566</v>
      </c>
      <c r="F71">
        <v>5.8</v>
      </c>
      <c r="G71">
        <v>2</v>
      </c>
      <c r="H71" t="s">
        <v>22</v>
      </c>
      <c r="I71" t="s">
        <v>127</v>
      </c>
      <c r="J71">
        <v>475</v>
      </c>
      <c r="K71">
        <v>690</v>
      </c>
    </row>
    <row r="72" spans="1:11" x14ac:dyDescent="0.3">
      <c r="A72" s="1">
        <v>46270</v>
      </c>
      <c r="B72" t="s">
        <v>11</v>
      </c>
      <c r="C72" t="s">
        <v>69</v>
      </c>
      <c r="D72" t="s">
        <v>70</v>
      </c>
      <c r="E72">
        <v>698</v>
      </c>
      <c r="F72">
        <v>5.8</v>
      </c>
      <c r="G72">
        <v>2</v>
      </c>
      <c r="H72" t="s">
        <v>33</v>
      </c>
      <c r="I72" t="s">
        <v>128</v>
      </c>
      <c r="J72">
        <v>560</v>
      </c>
      <c r="K72">
        <v>870</v>
      </c>
    </row>
    <row r="73" spans="1:11" x14ac:dyDescent="0.3">
      <c r="A73" s="1">
        <v>46270</v>
      </c>
      <c r="B73" t="s">
        <v>11</v>
      </c>
      <c r="C73" t="s">
        <v>66</v>
      </c>
      <c r="D73" t="s">
        <v>67</v>
      </c>
      <c r="E73">
        <v>776</v>
      </c>
      <c r="F73">
        <v>5.8</v>
      </c>
      <c r="G73">
        <v>2</v>
      </c>
      <c r="H73" t="s">
        <v>37</v>
      </c>
      <c r="I73" t="s">
        <v>129</v>
      </c>
      <c r="J73">
        <v>550</v>
      </c>
      <c r="K73">
        <v>1050</v>
      </c>
    </row>
    <row r="74" spans="1:11" x14ac:dyDescent="0.3">
      <c r="A74" s="1">
        <v>46270</v>
      </c>
      <c r="B74" t="s">
        <v>11</v>
      </c>
      <c r="C74" t="s">
        <v>103</v>
      </c>
      <c r="D74" t="s">
        <v>104</v>
      </c>
      <c r="E74">
        <v>440</v>
      </c>
      <c r="F74">
        <v>8</v>
      </c>
      <c r="G74">
        <v>1</v>
      </c>
      <c r="H74" t="s">
        <v>14</v>
      </c>
      <c r="I74" t="s">
        <v>130</v>
      </c>
      <c r="J74">
        <v>305</v>
      </c>
      <c r="K74">
        <v>930</v>
      </c>
    </row>
    <row r="75" spans="1:11" x14ac:dyDescent="0.3">
      <c r="A75" s="1">
        <v>46271</v>
      </c>
      <c r="B75" t="s">
        <v>11</v>
      </c>
      <c r="C75" t="s">
        <v>96</v>
      </c>
      <c r="D75" t="s">
        <v>97</v>
      </c>
      <c r="E75">
        <v>503</v>
      </c>
      <c r="F75">
        <v>6.8</v>
      </c>
      <c r="G75">
        <v>2</v>
      </c>
      <c r="H75" t="s">
        <v>22</v>
      </c>
      <c r="I75" t="s">
        <v>127</v>
      </c>
      <c r="J75">
        <v>475</v>
      </c>
      <c r="K75">
        <v>690</v>
      </c>
    </row>
    <row r="76" spans="1:11" x14ac:dyDescent="0.3">
      <c r="A76" s="1">
        <v>46271</v>
      </c>
      <c r="B76" t="s">
        <v>11</v>
      </c>
      <c r="C76" t="s">
        <v>39</v>
      </c>
      <c r="D76" t="s">
        <v>40</v>
      </c>
      <c r="E76">
        <v>324</v>
      </c>
      <c r="F76">
        <v>6</v>
      </c>
      <c r="G76">
        <v>1</v>
      </c>
      <c r="H76" t="s">
        <v>41</v>
      </c>
      <c r="I76" t="s">
        <v>131</v>
      </c>
      <c r="J76">
        <v>275</v>
      </c>
      <c r="K76">
        <v>520</v>
      </c>
    </row>
    <row r="77" spans="1:11" x14ac:dyDescent="0.3">
      <c r="A77" s="1">
        <v>46271</v>
      </c>
      <c r="B77" t="s">
        <v>11</v>
      </c>
      <c r="C77" t="s">
        <v>35</v>
      </c>
      <c r="D77" t="s">
        <v>36</v>
      </c>
      <c r="E77">
        <v>289</v>
      </c>
      <c r="F77">
        <v>4.2</v>
      </c>
      <c r="G77">
        <v>0</v>
      </c>
      <c r="H77" t="s">
        <v>37</v>
      </c>
      <c r="I77" t="s">
        <v>38</v>
      </c>
      <c r="J77">
        <v>200</v>
      </c>
      <c r="K77">
        <v>380</v>
      </c>
    </row>
    <row r="78" spans="1:11" x14ac:dyDescent="0.3">
      <c r="A78" s="1">
        <v>46272</v>
      </c>
      <c r="B78" t="s">
        <v>11</v>
      </c>
      <c r="C78" t="s">
        <v>31</v>
      </c>
      <c r="D78" t="s">
        <v>32</v>
      </c>
      <c r="E78">
        <v>875</v>
      </c>
      <c r="F78">
        <v>3.8</v>
      </c>
      <c r="G78">
        <v>2</v>
      </c>
      <c r="H78" t="s">
        <v>26</v>
      </c>
      <c r="I78" t="s">
        <v>132</v>
      </c>
      <c r="J78">
        <v>600</v>
      </c>
      <c r="K78">
        <v>1050</v>
      </c>
    </row>
    <row r="79" spans="1:11" x14ac:dyDescent="0.3">
      <c r="A79" s="1">
        <v>46272</v>
      </c>
      <c r="B79" t="s">
        <v>11</v>
      </c>
      <c r="C79" t="s">
        <v>28</v>
      </c>
      <c r="D79" t="s">
        <v>29</v>
      </c>
      <c r="E79">
        <v>402</v>
      </c>
      <c r="F79">
        <v>6</v>
      </c>
      <c r="G79">
        <v>1</v>
      </c>
      <c r="H79" t="s">
        <v>14</v>
      </c>
      <c r="I79" t="s">
        <v>74</v>
      </c>
      <c r="J79">
        <v>315</v>
      </c>
      <c r="K79">
        <v>420</v>
      </c>
    </row>
    <row r="80" spans="1:11" x14ac:dyDescent="0.3">
      <c r="A80" s="1">
        <v>46272</v>
      </c>
      <c r="B80" t="s">
        <v>11</v>
      </c>
      <c r="C80" t="s">
        <v>24</v>
      </c>
      <c r="D80" t="s">
        <v>25</v>
      </c>
      <c r="E80">
        <v>867</v>
      </c>
      <c r="F80">
        <v>4</v>
      </c>
      <c r="G80">
        <v>1</v>
      </c>
      <c r="H80" t="s">
        <v>26</v>
      </c>
      <c r="I80" t="s">
        <v>27</v>
      </c>
      <c r="J80">
        <v>610</v>
      </c>
      <c r="K80">
        <v>980</v>
      </c>
    </row>
    <row r="81" spans="1:11" x14ac:dyDescent="0.3">
      <c r="A81" s="1">
        <v>46272</v>
      </c>
      <c r="B81" t="s">
        <v>11</v>
      </c>
      <c r="C81" t="s">
        <v>12</v>
      </c>
      <c r="D81" t="s">
        <v>13</v>
      </c>
      <c r="E81">
        <v>269</v>
      </c>
      <c r="F81">
        <v>4.2</v>
      </c>
      <c r="G81">
        <v>0</v>
      </c>
      <c r="H81" t="s">
        <v>14</v>
      </c>
      <c r="I81" t="s">
        <v>133</v>
      </c>
      <c r="J81">
        <v>175</v>
      </c>
      <c r="K81">
        <v>340</v>
      </c>
    </row>
    <row r="82" spans="1:11" x14ac:dyDescent="0.3">
      <c r="A82" s="1">
        <v>46273</v>
      </c>
      <c r="B82" t="s">
        <v>11</v>
      </c>
      <c r="C82" t="s">
        <v>16</v>
      </c>
      <c r="D82" t="s">
        <v>17</v>
      </c>
      <c r="E82">
        <v>197</v>
      </c>
      <c r="F82">
        <v>4</v>
      </c>
      <c r="G82">
        <v>1</v>
      </c>
      <c r="H82" t="s">
        <v>41</v>
      </c>
      <c r="I82" t="s">
        <v>110</v>
      </c>
      <c r="J82">
        <v>85</v>
      </c>
      <c r="K82">
        <v>265</v>
      </c>
    </row>
    <row r="83" spans="1:11" x14ac:dyDescent="0.3">
      <c r="A83" s="1">
        <v>46273</v>
      </c>
      <c r="B83" t="s">
        <v>11</v>
      </c>
      <c r="C83" t="s">
        <v>112</v>
      </c>
      <c r="D83" t="s">
        <v>113</v>
      </c>
      <c r="E83">
        <v>321</v>
      </c>
      <c r="F83">
        <v>4.2</v>
      </c>
      <c r="G83">
        <v>0</v>
      </c>
      <c r="H83" t="s">
        <v>14</v>
      </c>
      <c r="I83" t="s">
        <v>114</v>
      </c>
      <c r="J83">
        <v>165</v>
      </c>
      <c r="K83">
        <v>375</v>
      </c>
    </row>
    <row r="84" spans="1:11" x14ac:dyDescent="0.3">
      <c r="A84" s="1">
        <v>46273</v>
      </c>
      <c r="B84" t="s">
        <v>11</v>
      </c>
      <c r="C84" t="s">
        <v>79</v>
      </c>
      <c r="D84" t="s">
        <v>80</v>
      </c>
      <c r="E84">
        <v>98</v>
      </c>
      <c r="F84">
        <v>10</v>
      </c>
      <c r="G84">
        <v>0</v>
      </c>
      <c r="H84" t="s">
        <v>41</v>
      </c>
      <c r="I84" t="s">
        <v>134</v>
      </c>
      <c r="J84">
        <v>160</v>
      </c>
      <c r="K84">
        <v>300</v>
      </c>
    </row>
    <row r="85" spans="1:11" x14ac:dyDescent="0.3">
      <c r="A85" s="1">
        <v>46273</v>
      </c>
      <c r="B85" t="s">
        <v>11</v>
      </c>
      <c r="C85" t="s">
        <v>46</v>
      </c>
      <c r="D85" t="s">
        <v>47</v>
      </c>
      <c r="E85">
        <v>714</v>
      </c>
      <c r="F85">
        <v>6</v>
      </c>
      <c r="G85">
        <v>1</v>
      </c>
      <c r="H85" t="s">
        <v>26</v>
      </c>
      <c r="I85" t="s">
        <v>135</v>
      </c>
      <c r="J85">
        <v>540</v>
      </c>
      <c r="K85">
        <v>1750</v>
      </c>
    </row>
    <row r="86" spans="1:11" x14ac:dyDescent="0.3">
      <c r="A86" s="1">
        <v>46273</v>
      </c>
      <c r="B86" t="s">
        <v>11</v>
      </c>
      <c r="C86" t="s">
        <v>24</v>
      </c>
      <c r="D86" t="s">
        <v>25</v>
      </c>
      <c r="E86">
        <v>755</v>
      </c>
      <c r="F86">
        <v>6</v>
      </c>
      <c r="G86">
        <v>1</v>
      </c>
      <c r="H86" t="s">
        <v>14</v>
      </c>
      <c r="I86" t="s">
        <v>136</v>
      </c>
      <c r="J86">
        <v>650</v>
      </c>
      <c r="K86">
        <v>1100</v>
      </c>
    </row>
    <row r="87" spans="1:11" x14ac:dyDescent="0.3">
      <c r="A87" s="1">
        <v>46273</v>
      </c>
      <c r="B87" t="s">
        <v>11</v>
      </c>
      <c r="C87" t="s">
        <v>62</v>
      </c>
      <c r="D87" t="s">
        <v>63</v>
      </c>
      <c r="E87">
        <v>580</v>
      </c>
      <c r="F87">
        <v>7.8</v>
      </c>
      <c r="G87">
        <v>2</v>
      </c>
      <c r="H87" t="s">
        <v>33</v>
      </c>
      <c r="I87" t="s">
        <v>137</v>
      </c>
      <c r="J87">
        <v>680</v>
      </c>
      <c r="K87">
        <v>1350</v>
      </c>
    </row>
    <row r="88" spans="1:11" x14ac:dyDescent="0.3">
      <c r="A88" s="1">
        <v>46273</v>
      </c>
      <c r="B88" t="s">
        <v>11</v>
      </c>
      <c r="C88" t="s">
        <v>31</v>
      </c>
      <c r="D88" t="s">
        <v>32</v>
      </c>
      <c r="E88">
        <v>712</v>
      </c>
      <c r="F88">
        <v>5.8</v>
      </c>
      <c r="G88">
        <v>2</v>
      </c>
      <c r="H88" t="s">
        <v>33</v>
      </c>
      <c r="I88" t="s">
        <v>138</v>
      </c>
      <c r="J88">
        <v>620</v>
      </c>
      <c r="K88">
        <v>1050</v>
      </c>
    </row>
    <row r="89" spans="1:11" x14ac:dyDescent="0.3">
      <c r="A89" s="1">
        <v>46273</v>
      </c>
      <c r="B89" t="s">
        <v>11</v>
      </c>
      <c r="C89" t="s">
        <v>66</v>
      </c>
      <c r="D89" t="s">
        <v>67</v>
      </c>
      <c r="E89">
        <v>644</v>
      </c>
      <c r="F89">
        <v>6.8</v>
      </c>
      <c r="G89">
        <v>2</v>
      </c>
      <c r="H89" t="s">
        <v>33</v>
      </c>
      <c r="I89" t="s">
        <v>139</v>
      </c>
      <c r="J89">
        <v>550</v>
      </c>
      <c r="K89">
        <v>820</v>
      </c>
    </row>
    <row r="90" spans="1:11" x14ac:dyDescent="0.3">
      <c r="A90" s="1">
        <v>46274</v>
      </c>
      <c r="B90" t="s">
        <v>11</v>
      </c>
      <c r="C90" t="s">
        <v>116</v>
      </c>
      <c r="D90" t="s">
        <v>117</v>
      </c>
      <c r="E90">
        <v>398</v>
      </c>
      <c r="F90">
        <v>7</v>
      </c>
      <c r="G90">
        <v>1</v>
      </c>
      <c r="H90" t="s">
        <v>37</v>
      </c>
      <c r="I90" t="s">
        <v>140</v>
      </c>
      <c r="J90">
        <v>285</v>
      </c>
      <c r="K90">
        <v>415</v>
      </c>
    </row>
    <row r="91" spans="1:11" x14ac:dyDescent="0.3">
      <c r="A91" s="1">
        <v>46274</v>
      </c>
      <c r="B91" t="s">
        <v>11</v>
      </c>
      <c r="C91" t="s">
        <v>69</v>
      </c>
      <c r="D91" t="s">
        <v>70</v>
      </c>
      <c r="E91">
        <v>548</v>
      </c>
      <c r="F91">
        <v>7.8</v>
      </c>
      <c r="G91">
        <v>2</v>
      </c>
      <c r="H91" t="s">
        <v>33</v>
      </c>
      <c r="I91" t="s">
        <v>128</v>
      </c>
      <c r="J91">
        <v>560</v>
      </c>
      <c r="K91">
        <v>870</v>
      </c>
    </row>
    <row r="92" spans="1:11" x14ac:dyDescent="0.3">
      <c r="A92" s="1">
        <v>46274</v>
      </c>
      <c r="B92" t="s">
        <v>11</v>
      </c>
      <c r="C92" t="s">
        <v>24</v>
      </c>
      <c r="D92" t="s">
        <v>25</v>
      </c>
      <c r="E92">
        <v>746</v>
      </c>
      <c r="F92">
        <v>6</v>
      </c>
      <c r="G92">
        <v>1</v>
      </c>
      <c r="H92" t="s">
        <v>14</v>
      </c>
      <c r="I92" t="s">
        <v>27</v>
      </c>
      <c r="J92">
        <v>610</v>
      </c>
      <c r="K92">
        <v>980</v>
      </c>
    </row>
    <row r="93" spans="1:11" x14ac:dyDescent="0.3">
      <c r="A93" s="1">
        <v>46275</v>
      </c>
      <c r="B93" t="s">
        <v>11</v>
      </c>
      <c r="C93" t="s">
        <v>87</v>
      </c>
      <c r="D93" t="s">
        <v>88</v>
      </c>
      <c r="E93">
        <v>163</v>
      </c>
      <c r="F93">
        <v>8.1999999999999993</v>
      </c>
      <c r="G93">
        <v>0</v>
      </c>
      <c r="H93" t="s">
        <v>41</v>
      </c>
      <c r="I93" t="s">
        <v>141</v>
      </c>
      <c r="J93">
        <v>210</v>
      </c>
      <c r="K93">
        <v>435</v>
      </c>
    </row>
    <row r="94" spans="1:11" x14ac:dyDescent="0.3">
      <c r="A94" s="1">
        <v>46275</v>
      </c>
      <c r="B94" t="s">
        <v>11</v>
      </c>
      <c r="C94" t="s">
        <v>100</v>
      </c>
      <c r="D94" t="s">
        <v>101</v>
      </c>
      <c r="E94">
        <v>148</v>
      </c>
      <c r="F94">
        <v>7</v>
      </c>
      <c r="G94">
        <v>1</v>
      </c>
      <c r="H94" t="s">
        <v>22</v>
      </c>
      <c r="I94" t="s">
        <v>142</v>
      </c>
      <c r="J94">
        <v>120</v>
      </c>
      <c r="K94">
        <v>230</v>
      </c>
    </row>
    <row r="95" spans="1:11" x14ac:dyDescent="0.3">
      <c r="A95" s="1">
        <v>46275</v>
      </c>
      <c r="B95" t="s">
        <v>11</v>
      </c>
      <c r="C95" t="s">
        <v>43</v>
      </c>
      <c r="D95" t="s">
        <v>44</v>
      </c>
      <c r="E95">
        <v>315</v>
      </c>
      <c r="F95">
        <v>4</v>
      </c>
      <c r="G95">
        <v>1</v>
      </c>
      <c r="H95" t="s">
        <v>77</v>
      </c>
      <c r="I95" t="s">
        <v>143</v>
      </c>
      <c r="J95">
        <v>170</v>
      </c>
      <c r="K95">
        <v>355</v>
      </c>
    </row>
    <row r="96" spans="1:11" x14ac:dyDescent="0.3">
      <c r="A96" s="1">
        <v>46275</v>
      </c>
      <c r="B96" t="s">
        <v>11</v>
      </c>
      <c r="C96" t="s">
        <v>53</v>
      </c>
      <c r="D96" t="s">
        <v>54</v>
      </c>
      <c r="E96">
        <v>392</v>
      </c>
      <c r="F96">
        <v>6</v>
      </c>
      <c r="G96">
        <v>1</v>
      </c>
      <c r="H96" t="s">
        <v>26</v>
      </c>
      <c r="I96" t="s">
        <v>55</v>
      </c>
      <c r="J96">
        <v>290</v>
      </c>
      <c r="K96">
        <v>430</v>
      </c>
    </row>
    <row r="97" spans="1:11" x14ac:dyDescent="0.3">
      <c r="A97" s="1">
        <v>46275</v>
      </c>
      <c r="B97" t="s">
        <v>11</v>
      </c>
      <c r="C97" t="s">
        <v>46</v>
      </c>
      <c r="D97" t="s">
        <v>47</v>
      </c>
      <c r="E97">
        <v>577</v>
      </c>
      <c r="F97">
        <v>7</v>
      </c>
      <c r="G97">
        <v>1</v>
      </c>
      <c r="H97" t="s">
        <v>37</v>
      </c>
      <c r="I97" t="s">
        <v>128</v>
      </c>
      <c r="J97">
        <v>700</v>
      </c>
      <c r="K97">
        <v>1150</v>
      </c>
    </row>
    <row r="98" spans="1:11" x14ac:dyDescent="0.3">
      <c r="A98" s="1">
        <v>46275</v>
      </c>
      <c r="B98" t="s">
        <v>11</v>
      </c>
      <c r="C98" t="s">
        <v>66</v>
      </c>
      <c r="D98" t="s">
        <v>67</v>
      </c>
      <c r="E98">
        <v>640</v>
      </c>
      <c r="F98">
        <v>6.8</v>
      </c>
      <c r="G98">
        <v>2</v>
      </c>
      <c r="H98" t="s">
        <v>33</v>
      </c>
      <c r="I98" t="s">
        <v>30</v>
      </c>
      <c r="J98">
        <v>550</v>
      </c>
      <c r="K98">
        <v>1050</v>
      </c>
    </row>
    <row r="99" spans="1:11" x14ac:dyDescent="0.3">
      <c r="A99" s="1">
        <v>46275</v>
      </c>
      <c r="B99" t="s">
        <v>11</v>
      </c>
      <c r="C99" t="s">
        <v>96</v>
      </c>
      <c r="D99" t="s">
        <v>97</v>
      </c>
      <c r="E99">
        <v>505</v>
      </c>
      <c r="F99">
        <v>7</v>
      </c>
      <c r="G99">
        <v>1</v>
      </c>
      <c r="H99" t="s">
        <v>22</v>
      </c>
      <c r="I99" t="s">
        <v>144</v>
      </c>
      <c r="J99">
        <v>380</v>
      </c>
      <c r="K99">
        <v>780</v>
      </c>
    </row>
    <row r="100" spans="1:11" x14ac:dyDescent="0.3">
      <c r="A100" s="1">
        <v>46275</v>
      </c>
      <c r="B100" t="s">
        <v>11</v>
      </c>
      <c r="C100" t="s">
        <v>62</v>
      </c>
      <c r="D100" t="s">
        <v>63</v>
      </c>
      <c r="E100">
        <v>575</v>
      </c>
      <c r="F100">
        <v>7.8</v>
      </c>
      <c r="G100">
        <v>2</v>
      </c>
      <c r="H100" t="s">
        <v>33</v>
      </c>
      <c r="I100" t="s">
        <v>145</v>
      </c>
      <c r="J100">
        <v>550</v>
      </c>
      <c r="K100">
        <v>1200</v>
      </c>
    </row>
    <row r="101" spans="1:11" x14ac:dyDescent="0.3">
      <c r="A101" s="1">
        <v>46275</v>
      </c>
      <c r="B101" t="s">
        <v>11</v>
      </c>
      <c r="C101" t="s">
        <v>56</v>
      </c>
      <c r="D101" t="s">
        <v>57</v>
      </c>
      <c r="E101">
        <v>317</v>
      </c>
      <c r="F101">
        <v>4.2</v>
      </c>
      <c r="G101">
        <v>0</v>
      </c>
      <c r="H101" t="s">
        <v>14</v>
      </c>
      <c r="I101" t="s">
        <v>121</v>
      </c>
      <c r="J101">
        <v>170</v>
      </c>
      <c r="K101">
        <v>395</v>
      </c>
    </row>
    <row r="102" spans="1:11" x14ac:dyDescent="0.3">
      <c r="A102" s="1">
        <v>46275</v>
      </c>
      <c r="B102" t="s">
        <v>11</v>
      </c>
      <c r="C102" t="s">
        <v>20</v>
      </c>
      <c r="D102" t="s">
        <v>21</v>
      </c>
      <c r="E102">
        <v>321</v>
      </c>
      <c r="F102">
        <v>4.2</v>
      </c>
      <c r="G102">
        <v>0</v>
      </c>
      <c r="H102" t="s">
        <v>22</v>
      </c>
      <c r="I102" t="s">
        <v>45</v>
      </c>
      <c r="J102">
        <v>285</v>
      </c>
      <c r="K102">
        <v>520</v>
      </c>
    </row>
    <row r="103" spans="1:11" x14ac:dyDescent="0.3">
      <c r="A103" s="1">
        <v>46275</v>
      </c>
      <c r="B103" t="s">
        <v>11</v>
      </c>
      <c r="C103" t="s">
        <v>49</v>
      </c>
      <c r="D103" t="s">
        <v>50</v>
      </c>
      <c r="E103">
        <v>156</v>
      </c>
      <c r="F103">
        <v>8.1999999999999993</v>
      </c>
      <c r="G103">
        <v>0</v>
      </c>
      <c r="H103" t="s">
        <v>51</v>
      </c>
      <c r="I103" t="s">
        <v>52</v>
      </c>
      <c r="J103">
        <v>175</v>
      </c>
      <c r="K103">
        <v>370</v>
      </c>
    </row>
    <row r="104" spans="1:11" x14ac:dyDescent="0.3">
      <c r="A104" s="1">
        <v>46276</v>
      </c>
      <c r="B104" t="s">
        <v>11</v>
      </c>
      <c r="C104" t="s">
        <v>90</v>
      </c>
      <c r="D104" t="s">
        <v>91</v>
      </c>
      <c r="E104">
        <v>282</v>
      </c>
      <c r="F104">
        <v>6</v>
      </c>
      <c r="G104">
        <v>1</v>
      </c>
      <c r="H104" t="s">
        <v>77</v>
      </c>
      <c r="I104" t="s">
        <v>146</v>
      </c>
      <c r="J104">
        <v>250</v>
      </c>
      <c r="K104">
        <v>470</v>
      </c>
    </row>
    <row r="105" spans="1:11" x14ac:dyDescent="0.3">
      <c r="A105" s="1">
        <v>46276</v>
      </c>
      <c r="B105" t="s">
        <v>11</v>
      </c>
      <c r="C105" t="s">
        <v>59</v>
      </c>
      <c r="D105" t="s">
        <v>60</v>
      </c>
      <c r="E105">
        <v>269</v>
      </c>
      <c r="F105">
        <v>4.2</v>
      </c>
      <c r="G105">
        <v>0</v>
      </c>
      <c r="H105" t="s">
        <v>26</v>
      </c>
      <c r="I105" t="s">
        <v>38</v>
      </c>
      <c r="J105">
        <v>175</v>
      </c>
      <c r="K105">
        <v>300</v>
      </c>
    </row>
    <row r="106" spans="1:11" x14ac:dyDescent="0.3">
      <c r="A106" s="1">
        <v>46278</v>
      </c>
      <c r="B106" t="s">
        <v>11</v>
      </c>
      <c r="C106" t="s">
        <v>103</v>
      </c>
      <c r="D106" t="s">
        <v>104</v>
      </c>
      <c r="E106">
        <v>460</v>
      </c>
      <c r="F106">
        <v>8</v>
      </c>
      <c r="G106">
        <v>1</v>
      </c>
      <c r="H106" t="s">
        <v>14</v>
      </c>
      <c r="I106" t="s">
        <v>147</v>
      </c>
      <c r="J106">
        <v>305</v>
      </c>
      <c r="K106">
        <v>580</v>
      </c>
    </row>
    <row r="107" spans="1:11" x14ac:dyDescent="0.3">
      <c r="A107" s="1">
        <v>46279</v>
      </c>
      <c r="B107" t="s">
        <v>11</v>
      </c>
      <c r="C107" t="s">
        <v>84</v>
      </c>
      <c r="D107" t="s">
        <v>85</v>
      </c>
      <c r="E107">
        <v>183</v>
      </c>
      <c r="F107">
        <v>6</v>
      </c>
      <c r="G107">
        <v>1</v>
      </c>
      <c r="H107" t="s">
        <v>22</v>
      </c>
      <c r="I107" t="s">
        <v>148</v>
      </c>
      <c r="J107">
        <v>90</v>
      </c>
      <c r="K107">
        <v>195</v>
      </c>
    </row>
    <row r="108" spans="1:11" x14ac:dyDescent="0.3">
      <c r="A108" s="1">
        <v>46279</v>
      </c>
      <c r="B108" t="s">
        <v>11</v>
      </c>
      <c r="C108" t="s">
        <v>20</v>
      </c>
      <c r="D108" t="s">
        <v>21</v>
      </c>
      <c r="E108">
        <v>298</v>
      </c>
      <c r="F108">
        <v>4.2</v>
      </c>
      <c r="G108">
        <v>0</v>
      </c>
      <c r="H108" t="s">
        <v>22</v>
      </c>
      <c r="I108" t="s">
        <v>149</v>
      </c>
      <c r="J108">
        <v>245</v>
      </c>
      <c r="K108">
        <v>445</v>
      </c>
    </row>
    <row r="109" spans="1:11" x14ac:dyDescent="0.3">
      <c r="A109" s="1">
        <v>46279</v>
      </c>
      <c r="B109" t="s">
        <v>11</v>
      </c>
      <c r="C109" t="s">
        <v>43</v>
      </c>
      <c r="D109" t="s">
        <v>44</v>
      </c>
      <c r="E109">
        <v>295</v>
      </c>
      <c r="F109">
        <v>4</v>
      </c>
      <c r="G109">
        <v>1</v>
      </c>
      <c r="H109" t="s">
        <v>22</v>
      </c>
      <c r="I109" t="s">
        <v>150</v>
      </c>
      <c r="J109">
        <v>130</v>
      </c>
      <c r="K109">
        <v>320</v>
      </c>
    </row>
    <row r="110" spans="1:11" x14ac:dyDescent="0.3">
      <c r="A110" s="1">
        <v>46279</v>
      </c>
      <c r="B110" t="s">
        <v>11</v>
      </c>
      <c r="C110" t="s">
        <v>56</v>
      </c>
      <c r="D110" t="s">
        <v>57</v>
      </c>
      <c r="E110">
        <v>291</v>
      </c>
      <c r="F110">
        <v>4</v>
      </c>
      <c r="G110">
        <v>1</v>
      </c>
      <c r="H110" t="s">
        <v>22</v>
      </c>
      <c r="I110" t="s">
        <v>127</v>
      </c>
      <c r="J110">
        <v>165</v>
      </c>
      <c r="K110">
        <v>400</v>
      </c>
    </row>
    <row r="111" spans="1:11" x14ac:dyDescent="0.3">
      <c r="A111" s="1">
        <v>46279</v>
      </c>
      <c r="B111" t="s">
        <v>11</v>
      </c>
      <c r="C111" t="s">
        <v>90</v>
      </c>
      <c r="D111" t="s">
        <v>91</v>
      </c>
      <c r="E111">
        <v>320</v>
      </c>
      <c r="F111">
        <v>4</v>
      </c>
      <c r="G111">
        <v>1</v>
      </c>
      <c r="H111" t="s">
        <v>22</v>
      </c>
      <c r="I111" t="s">
        <v>118</v>
      </c>
      <c r="J111">
        <v>225</v>
      </c>
      <c r="K111">
        <v>450</v>
      </c>
    </row>
    <row r="112" spans="1:11" x14ac:dyDescent="0.3">
      <c r="A112" s="1">
        <v>46279</v>
      </c>
      <c r="B112" t="s">
        <v>11</v>
      </c>
      <c r="C112" t="s">
        <v>39</v>
      </c>
      <c r="D112" t="s">
        <v>40</v>
      </c>
      <c r="E112">
        <v>208</v>
      </c>
      <c r="F112">
        <v>10</v>
      </c>
      <c r="G112">
        <v>0</v>
      </c>
      <c r="H112" t="s">
        <v>41</v>
      </c>
      <c r="I112" t="s">
        <v>42</v>
      </c>
      <c r="J112">
        <v>220</v>
      </c>
      <c r="K112">
        <v>390</v>
      </c>
    </row>
    <row r="113" spans="1:11" x14ac:dyDescent="0.3">
      <c r="A113" s="1">
        <v>46279</v>
      </c>
      <c r="B113" t="s">
        <v>11</v>
      </c>
      <c r="C113" t="s">
        <v>35</v>
      </c>
      <c r="D113" t="s">
        <v>36</v>
      </c>
      <c r="E113">
        <v>289</v>
      </c>
      <c r="F113">
        <v>4.2</v>
      </c>
      <c r="G113">
        <v>0</v>
      </c>
      <c r="H113" t="s">
        <v>37</v>
      </c>
      <c r="I113" t="s">
        <v>133</v>
      </c>
      <c r="J113">
        <v>200</v>
      </c>
      <c r="K113">
        <v>410</v>
      </c>
    </row>
    <row r="114" spans="1:11" x14ac:dyDescent="0.3">
      <c r="A114" s="1">
        <v>46279</v>
      </c>
      <c r="B114" t="s">
        <v>11</v>
      </c>
      <c r="C114" t="s">
        <v>28</v>
      </c>
      <c r="D114" t="s">
        <v>29</v>
      </c>
      <c r="E114">
        <v>354</v>
      </c>
      <c r="F114">
        <v>7</v>
      </c>
      <c r="G114">
        <v>1</v>
      </c>
      <c r="H114" t="s">
        <v>14</v>
      </c>
      <c r="I114" t="s">
        <v>128</v>
      </c>
      <c r="J114">
        <v>310</v>
      </c>
      <c r="K114">
        <v>470</v>
      </c>
    </row>
    <row r="115" spans="1:11" x14ac:dyDescent="0.3">
      <c r="A115" s="1">
        <v>46279</v>
      </c>
      <c r="B115" t="s">
        <v>11</v>
      </c>
      <c r="C115" t="s">
        <v>53</v>
      </c>
      <c r="D115" t="s">
        <v>54</v>
      </c>
      <c r="E115">
        <v>350</v>
      </c>
      <c r="F115">
        <v>6</v>
      </c>
      <c r="G115">
        <v>1</v>
      </c>
      <c r="H115" t="s">
        <v>14</v>
      </c>
      <c r="I115" t="s">
        <v>129</v>
      </c>
      <c r="J115">
        <v>295</v>
      </c>
      <c r="K115">
        <v>580</v>
      </c>
    </row>
    <row r="116" spans="1:11" x14ac:dyDescent="0.3">
      <c r="A116" s="1">
        <v>46279</v>
      </c>
      <c r="B116" t="s">
        <v>11</v>
      </c>
      <c r="C116" t="s">
        <v>16</v>
      </c>
      <c r="D116" t="s">
        <v>17</v>
      </c>
      <c r="E116">
        <v>201</v>
      </c>
      <c r="F116">
        <v>4</v>
      </c>
      <c r="G116">
        <v>1</v>
      </c>
      <c r="H116" t="s">
        <v>14</v>
      </c>
      <c r="I116" t="s">
        <v>150</v>
      </c>
      <c r="J116">
        <v>100</v>
      </c>
      <c r="K116">
        <v>265</v>
      </c>
    </row>
    <row r="117" spans="1:11" x14ac:dyDescent="0.3">
      <c r="A117" s="1">
        <v>46279</v>
      </c>
      <c r="B117" t="s">
        <v>11</v>
      </c>
      <c r="C117" t="s">
        <v>112</v>
      </c>
      <c r="D117" t="s">
        <v>113</v>
      </c>
      <c r="E117">
        <v>279</v>
      </c>
      <c r="F117">
        <v>4.2</v>
      </c>
      <c r="G117">
        <v>0</v>
      </c>
      <c r="H117" t="s">
        <v>14</v>
      </c>
      <c r="I117" t="s">
        <v>149</v>
      </c>
      <c r="J117">
        <v>200</v>
      </c>
      <c r="K117">
        <v>355</v>
      </c>
    </row>
    <row r="118" spans="1:11" x14ac:dyDescent="0.3">
      <c r="A118" s="1">
        <v>46280</v>
      </c>
      <c r="B118" t="s">
        <v>11</v>
      </c>
      <c r="C118" t="s">
        <v>12</v>
      </c>
      <c r="D118" t="s">
        <v>13</v>
      </c>
      <c r="E118">
        <v>289</v>
      </c>
      <c r="F118">
        <v>4.2</v>
      </c>
      <c r="G118">
        <v>0</v>
      </c>
      <c r="H118" t="s">
        <v>14</v>
      </c>
      <c r="I118" t="s">
        <v>115</v>
      </c>
      <c r="J118">
        <v>175</v>
      </c>
      <c r="K118">
        <v>270</v>
      </c>
    </row>
    <row r="119" spans="1:11" x14ac:dyDescent="0.3">
      <c r="A119" s="1">
        <v>46280</v>
      </c>
      <c r="B119" t="s">
        <v>11</v>
      </c>
      <c r="C119" t="s">
        <v>79</v>
      </c>
      <c r="D119" t="s">
        <v>80</v>
      </c>
      <c r="E119">
        <v>98</v>
      </c>
      <c r="F119">
        <v>10</v>
      </c>
      <c r="G119">
        <v>0</v>
      </c>
      <c r="H119" t="s">
        <v>41</v>
      </c>
      <c r="I119" t="s">
        <v>151</v>
      </c>
      <c r="J119">
        <v>170</v>
      </c>
      <c r="K119">
        <v>320</v>
      </c>
    </row>
    <row r="120" spans="1:11" x14ac:dyDescent="0.3">
      <c r="A120" s="1">
        <v>46280</v>
      </c>
      <c r="B120" t="s">
        <v>11</v>
      </c>
      <c r="C120" t="s">
        <v>56</v>
      </c>
      <c r="D120" t="s">
        <v>57</v>
      </c>
      <c r="E120">
        <v>247</v>
      </c>
      <c r="F120">
        <v>6</v>
      </c>
      <c r="G120">
        <v>1</v>
      </c>
      <c r="H120" t="s">
        <v>22</v>
      </c>
      <c r="I120" t="s">
        <v>152</v>
      </c>
      <c r="J120">
        <v>170</v>
      </c>
      <c r="K120">
        <v>420</v>
      </c>
    </row>
    <row r="121" spans="1:11" x14ac:dyDescent="0.3">
      <c r="A121" s="1">
        <v>46280</v>
      </c>
      <c r="B121" t="s">
        <v>11</v>
      </c>
      <c r="C121" t="s">
        <v>84</v>
      </c>
      <c r="D121" t="s">
        <v>85</v>
      </c>
      <c r="E121">
        <v>145</v>
      </c>
      <c r="F121">
        <v>8</v>
      </c>
      <c r="G121">
        <v>1</v>
      </c>
      <c r="H121" t="s">
        <v>22</v>
      </c>
      <c r="I121" t="s">
        <v>153</v>
      </c>
      <c r="J121">
        <v>90</v>
      </c>
      <c r="K121">
        <v>195</v>
      </c>
    </row>
    <row r="122" spans="1:11" x14ac:dyDescent="0.3">
      <c r="A122" s="1">
        <v>46280</v>
      </c>
      <c r="B122" t="s">
        <v>11</v>
      </c>
      <c r="C122" t="s">
        <v>20</v>
      </c>
      <c r="D122" t="s">
        <v>21</v>
      </c>
      <c r="E122">
        <v>278</v>
      </c>
      <c r="F122">
        <v>4.2</v>
      </c>
      <c r="G122">
        <v>0</v>
      </c>
      <c r="H122" t="s">
        <v>22</v>
      </c>
      <c r="I122" t="s">
        <v>154</v>
      </c>
      <c r="J122">
        <v>245</v>
      </c>
      <c r="K122">
        <v>500</v>
      </c>
    </row>
    <row r="123" spans="1:11" x14ac:dyDescent="0.3">
      <c r="A123" s="1">
        <v>46281</v>
      </c>
      <c r="B123" t="s">
        <v>11</v>
      </c>
      <c r="C123" t="s">
        <v>90</v>
      </c>
      <c r="D123" t="s">
        <v>91</v>
      </c>
      <c r="E123">
        <v>254</v>
      </c>
      <c r="F123">
        <v>7</v>
      </c>
      <c r="G123">
        <v>1</v>
      </c>
      <c r="H123" t="s">
        <v>77</v>
      </c>
      <c r="I123" t="s">
        <v>127</v>
      </c>
      <c r="J123">
        <v>265</v>
      </c>
      <c r="K123">
        <v>475</v>
      </c>
    </row>
    <row r="124" spans="1:11" x14ac:dyDescent="0.3">
      <c r="A124" s="1">
        <v>46281</v>
      </c>
      <c r="B124" t="s">
        <v>11</v>
      </c>
      <c r="C124" t="s">
        <v>116</v>
      </c>
      <c r="D124" t="s">
        <v>117</v>
      </c>
      <c r="E124">
        <v>407</v>
      </c>
      <c r="F124">
        <v>7</v>
      </c>
      <c r="G124">
        <v>1</v>
      </c>
      <c r="H124" t="s">
        <v>18</v>
      </c>
      <c r="I124" t="s">
        <v>155</v>
      </c>
      <c r="J124">
        <v>360</v>
      </c>
      <c r="K124">
        <v>520</v>
      </c>
    </row>
    <row r="125" spans="1:11" x14ac:dyDescent="0.3">
      <c r="A125" s="1">
        <v>46281</v>
      </c>
      <c r="B125" t="s">
        <v>11</v>
      </c>
      <c r="C125" t="s">
        <v>31</v>
      </c>
      <c r="D125" t="s">
        <v>32</v>
      </c>
      <c r="E125">
        <v>712</v>
      </c>
      <c r="F125">
        <v>5.8</v>
      </c>
      <c r="G125">
        <v>2</v>
      </c>
      <c r="H125" t="s">
        <v>33</v>
      </c>
      <c r="I125" t="s">
        <v>156</v>
      </c>
      <c r="J125">
        <v>730</v>
      </c>
      <c r="K125">
        <v>1700</v>
      </c>
    </row>
    <row r="126" spans="1:11" x14ac:dyDescent="0.3">
      <c r="A126" s="1">
        <v>46282</v>
      </c>
      <c r="B126" t="s">
        <v>11</v>
      </c>
      <c r="C126" t="s">
        <v>69</v>
      </c>
      <c r="D126" t="s">
        <v>70</v>
      </c>
      <c r="E126">
        <v>556</v>
      </c>
      <c r="F126">
        <v>7</v>
      </c>
      <c r="G126">
        <v>1</v>
      </c>
      <c r="H126" t="s">
        <v>37</v>
      </c>
      <c r="I126" t="s">
        <v>135</v>
      </c>
      <c r="J126">
        <v>480</v>
      </c>
      <c r="K126">
        <v>1450</v>
      </c>
    </row>
    <row r="127" spans="1:11" x14ac:dyDescent="0.3">
      <c r="A127" s="1">
        <v>46285</v>
      </c>
      <c r="B127" t="s">
        <v>11</v>
      </c>
      <c r="C127" t="s">
        <v>59</v>
      </c>
      <c r="D127" t="s">
        <v>60</v>
      </c>
      <c r="E127">
        <v>245</v>
      </c>
      <c r="F127">
        <v>6</v>
      </c>
      <c r="G127">
        <v>1</v>
      </c>
      <c r="H127" t="s">
        <v>77</v>
      </c>
      <c r="I127" t="s">
        <v>157</v>
      </c>
      <c r="J127">
        <v>175</v>
      </c>
      <c r="K127">
        <v>270</v>
      </c>
    </row>
    <row r="128" spans="1:11" x14ac:dyDescent="0.3">
      <c r="A128" s="1">
        <v>46285</v>
      </c>
      <c r="B128" t="s">
        <v>11</v>
      </c>
      <c r="C128" t="s">
        <v>103</v>
      </c>
      <c r="D128" t="s">
        <v>104</v>
      </c>
      <c r="E128">
        <v>460</v>
      </c>
      <c r="F128">
        <v>8</v>
      </c>
      <c r="G128">
        <v>1</v>
      </c>
      <c r="H128" t="s">
        <v>14</v>
      </c>
      <c r="I128" t="s">
        <v>158</v>
      </c>
      <c r="J128">
        <v>305</v>
      </c>
      <c r="K128">
        <v>560</v>
      </c>
    </row>
    <row r="129" spans="1:11" x14ac:dyDescent="0.3">
      <c r="A129" s="1">
        <v>46286</v>
      </c>
      <c r="B129" t="s">
        <v>11</v>
      </c>
      <c r="C129" t="s">
        <v>39</v>
      </c>
      <c r="D129" t="s">
        <v>40</v>
      </c>
      <c r="E129">
        <v>258</v>
      </c>
      <c r="F129">
        <v>8</v>
      </c>
      <c r="G129">
        <v>1</v>
      </c>
      <c r="H129" t="s">
        <v>41</v>
      </c>
      <c r="I129" t="s">
        <v>159</v>
      </c>
      <c r="J129">
        <v>260</v>
      </c>
      <c r="K129">
        <v>450</v>
      </c>
    </row>
    <row r="130" spans="1:11" x14ac:dyDescent="0.3">
      <c r="A130" s="1">
        <v>46286</v>
      </c>
      <c r="B130" t="s">
        <v>11</v>
      </c>
      <c r="C130" t="s">
        <v>84</v>
      </c>
      <c r="D130" t="s">
        <v>85</v>
      </c>
      <c r="E130">
        <v>124</v>
      </c>
      <c r="F130">
        <v>9.1999999999999993</v>
      </c>
      <c r="G130">
        <v>0</v>
      </c>
      <c r="H130" t="s">
        <v>77</v>
      </c>
      <c r="I130" t="s">
        <v>160</v>
      </c>
      <c r="J130">
        <v>100</v>
      </c>
      <c r="K130">
        <v>250</v>
      </c>
    </row>
    <row r="131" spans="1:11" x14ac:dyDescent="0.3">
      <c r="A131" s="1">
        <v>46286</v>
      </c>
      <c r="B131" t="s">
        <v>11</v>
      </c>
      <c r="C131" t="s">
        <v>35</v>
      </c>
      <c r="D131" t="s">
        <v>36</v>
      </c>
      <c r="E131">
        <v>289</v>
      </c>
      <c r="F131">
        <v>4.2</v>
      </c>
      <c r="G131">
        <v>0</v>
      </c>
      <c r="H131" t="s">
        <v>37</v>
      </c>
      <c r="I131" t="s">
        <v>161</v>
      </c>
      <c r="J131">
        <v>215</v>
      </c>
      <c r="K131">
        <v>340</v>
      </c>
    </row>
    <row r="132" spans="1:11" x14ac:dyDescent="0.3">
      <c r="A132" s="1">
        <v>46286</v>
      </c>
      <c r="B132" t="s">
        <v>11</v>
      </c>
      <c r="C132" t="s">
        <v>43</v>
      </c>
      <c r="D132" t="s">
        <v>44</v>
      </c>
      <c r="E132">
        <v>287</v>
      </c>
      <c r="F132">
        <v>6</v>
      </c>
      <c r="G132">
        <v>1</v>
      </c>
      <c r="H132" t="s">
        <v>77</v>
      </c>
      <c r="I132" t="s">
        <v>61</v>
      </c>
      <c r="J132">
        <v>135</v>
      </c>
      <c r="K132">
        <v>310</v>
      </c>
    </row>
    <row r="133" spans="1:11" x14ac:dyDescent="0.3">
      <c r="A133" s="1">
        <v>46286</v>
      </c>
      <c r="B133" t="s">
        <v>11</v>
      </c>
      <c r="C133" t="s">
        <v>20</v>
      </c>
      <c r="D133" t="s">
        <v>21</v>
      </c>
      <c r="E133">
        <v>277</v>
      </c>
      <c r="F133">
        <v>4</v>
      </c>
      <c r="G133">
        <v>1</v>
      </c>
      <c r="H133" t="s">
        <v>77</v>
      </c>
      <c r="I133" t="s">
        <v>162</v>
      </c>
      <c r="J133">
        <v>245</v>
      </c>
      <c r="K133">
        <v>500</v>
      </c>
    </row>
    <row r="134" spans="1:11" x14ac:dyDescent="0.3">
      <c r="A134" s="1">
        <v>46286</v>
      </c>
      <c r="B134" t="s">
        <v>11</v>
      </c>
      <c r="C134" t="s">
        <v>16</v>
      </c>
      <c r="D134" t="s">
        <v>17</v>
      </c>
      <c r="E134">
        <v>244</v>
      </c>
      <c r="F134">
        <v>4</v>
      </c>
      <c r="G134">
        <v>1</v>
      </c>
      <c r="H134" t="s">
        <v>41</v>
      </c>
      <c r="I134" t="s">
        <v>95</v>
      </c>
      <c r="J134">
        <v>135</v>
      </c>
      <c r="K134">
        <v>320</v>
      </c>
    </row>
    <row r="135" spans="1:11" x14ac:dyDescent="0.3">
      <c r="A135" s="1">
        <v>46287</v>
      </c>
      <c r="B135" t="s">
        <v>11</v>
      </c>
      <c r="C135" t="s">
        <v>12</v>
      </c>
      <c r="D135" t="s">
        <v>13</v>
      </c>
      <c r="E135">
        <v>289</v>
      </c>
      <c r="F135">
        <v>4.2</v>
      </c>
      <c r="G135">
        <v>0</v>
      </c>
      <c r="H135" t="s">
        <v>14</v>
      </c>
      <c r="I135" t="s">
        <v>38</v>
      </c>
      <c r="J135">
        <v>175</v>
      </c>
      <c r="K135">
        <v>365</v>
      </c>
    </row>
    <row r="136" spans="1:11" x14ac:dyDescent="0.3">
      <c r="A136" s="1">
        <v>46287</v>
      </c>
      <c r="B136" t="s">
        <v>11</v>
      </c>
      <c r="C136" t="s">
        <v>28</v>
      </c>
      <c r="D136" t="s">
        <v>29</v>
      </c>
      <c r="E136">
        <v>422</v>
      </c>
      <c r="F136">
        <v>4</v>
      </c>
      <c r="G136">
        <v>1</v>
      </c>
      <c r="H136" t="s">
        <v>14</v>
      </c>
      <c r="I136" t="s">
        <v>130</v>
      </c>
      <c r="J136">
        <v>315</v>
      </c>
      <c r="K136">
        <v>620</v>
      </c>
    </row>
    <row r="137" spans="1:11" x14ac:dyDescent="0.3">
      <c r="A137" s="1">
        <v>46287</v>
      </c>
      <c r="B137" t="s">
        <v>11</v>
      </c>
      <c r="C137" t="s">
        <v>53</v>
      </c>
      <c r="D137" t="s">
        <v>54</v>
      </c>
      <c r="E137">
        <v>373</v>
      </c>
      <c r="F137">
        <v>6</v>
      </c>
      <c r="G137">
        <v>1</v>
      </c>
      <c r="H137" t="s">
        <v>37</v>
      </c>
      <c r="I137" t="s">
        <v>163</v>
      </c>
      <c r="J137">
        <v>305</v>
      </c>
      <c r="K137">
        <v>800</v>
      </c>
    </row>
    <row r="138" spans="1:11" x14ac:dyDescent="0.3">
      <c r="A138" s="1">
        <v>46287</v>
      </c>
      <c r="B138" t="s">
        <v>11</v>
      </c>
      <c r="C138" t="s">
        <v>79</v>
      </c>
      <c r="D138" t="s">
        <v>80</v>
      </c>
      <c r="E138">
        <v>123</v>
      </c>
      <c r="F138">
        <v>10</v>
      </c>
      <c r="G138">
        <v>0</v>
      </c>
      <c r="H138" t="s">
        <v>41</v>
      </c>
      <c r="I138" t="s">
        <v>164</v>
      </c>
      <c r="J138">
        <v>235</v>
      </c>
      <c r="K138">
        <v>510</v>
      </c>
    </row>
    <row r="139" spans="1:11" x14ac:dyDescent="0.3">
      <c r="A139" s="1">
        <v>46287</v>
      </c>
      <c r="B139" t="s">
        <v>11</v>
      </c>
      <c r="C139" t="s">
        <v>112</v>
      </c>
      <c r="D139" t="s">
        <v>113</v>
      </c>
      <c r="E139">
        <v>284</v>
      </c>
      <c r="F139">
        <v>4</v>
      </c>
      <c r="G139">
        <v>1</v>
      </c>
      <c r="H139" t="s">
        <v>77</v>
      </c>
      <c r="I139" t="s">
        <v>23</v>
      </c>
      <c r="J139">
        <v>225</v>
      </c>
      <c r="K139">
        <v>390</v>
      </c>
    </row>
    <row r="140" spans="1:11" x14ac:dyDescent="0.3">
      <c r="A140" s="1">
        <v>46288</v>
      </c>
      <c r="B140" t="s">
        <v>11</v>
      </c>
      <c r="C140" t="s">
        <v>56</v>
      </c>
      <c r="D140" t="s">
        <v>57</v>
      </c>
      <c r="E140">
        <v>307</v>
      </c>
      <c r="F140">
        <v>4</v>
      </c>
      <c r="G140">
        <v>1</v>
      </c>
      <c r="H140" t="s">
        <v>22</v>
      </c>
      <c r="I140" t="s">
        <v>131</v>
      </c>
      <c r="J140">
        <v>220</v>
      </c>
      <c r="K140">
        <v>510</v>
      </c>
    </row>
    <row r="141" spans="1:11" x14ac:dyDescent="0.3">
      <c r="A141" s="1">
        <v>46288</v>
      </c>
      <c r="B141" t="s">
        <v>11</v>
      </c>
      <c r="C141" t="s">
        <v>116</v>
      </c>
      <c r="D141" t="s">
        <v>117</v>
      </c>
      <c r="E141">
        <v>376</v>
      </c>
      <c r="F141">
        <v>8</v>
      </c>
      <c r="G141">
        <v>1</v>
      </c>
      <c r="H141" t="s">
        <v>18</v>
      </c>
      <c r="I141" t="s">
        <v>165</v>
      </c>
      <c r="J141">
        <v>340</v>
      </c>
      <c r="K141">
        <v>680</v>
      </c>
    </row>
    <row r="142" spans="1:11" x14ac:dyDescent="0.3">
      <c r="A142" s="1">
        <v>46289</v>
      </c>
      <c r="B142" t="s">
        <v>11</v>
      </c>
      <c r="C142" t="s">
        <v>69</v>
      </c>
      <c r="D142" t="s">
        <v>70</v>
      </c>
      <c r="E142">
        <v>554</v>
      </c>
      <c r="F142">
        <v>7.8</v>
      </c>
      <c r="G142">
        <v>2</v>
      </c>
      <c r="H142" t="s">
        <v>33</v>
      </c>
      <c r="I142" t="s">
        <v>166</v>
      </c>
      <c r="J142">
        <v>470</v>
      </c>
      <c r="K142">
        <v>690</v>
      </c>
    </row>
    <row r="143" spans="1:11" x14ac:dyDescent="0.3">
      <c r="A143" s="1">
        <v>46289</v>
      </c>
      <c r="B143" t="s">
        <v>11</v>
      </c>
      <c r="C143" t="s">
        <v>31</v>
      </c>
      <c r="D143" t="s">
        <v>32</v>
      </c>
      <c r="E143">
        <v>719</v>
      </c>
      <c r="F143">
        <v>5.8</v>
      </c>
      <c r="G143">
        <v>2</v>
      </c>
      <c r="H143" t="s">
        <v>33</v>
      </c>
      <c r="I143" t="s">
        <v>167</v>
      </c>
      <c r="J143">
        <v>610</v>
      </c>
      <c r="K143">
        <v>1050</v>
      </c>
    </row>
    <row r="144" spans="1:11" x14ac:dyDescent="0.3">
      <c r="A144" s="1">
        <v>46289</v>
      </c>
      <c r="B144" t="s">
        <v>11</v>
      </c>
      <c r="C144" t="s">
        <v>49</v>
      </c>
      <c r="D144" t="s">
        <v>50</v>
      </c>
      <c r="E144">
        <v>187</v>
      </c>
      <c r="F144">
        <v>7.2</v>
      </c>
      <c r="G144">
        <v>0</v>
      </c>
      <c r="H144" t="s">
        <v>51</v>
      </c>
      <c r="I144" t="s">
        <v>83</v>
      </c>
      <c r="J144">
        <v>215</v>
      </c>
      <c r="K144">
        <v>400</v>
      </c>
    </row>
    <row r="145" spans="1:11" x14ac:dyDescent="0.3">
      <c r="A145" s="1">
        <v>46289</v>
      </c>
      <c r="B145" t="s">
        <v>11</v>
      </c>
      <c r="C145" t="s">
        <v>100</v>
      </c>
      <c r="D145" t="s">
        <v>101</v>
      </c>
      <c r="E145">
        <v>138</v>
      </c>
      <c r="F145">
        <v>8.1999999999999993</v>
      </c>
      <c r="G145">
        <v>0</v>
      </c>
      <c r="H145" t="s">
        <v>41</v>
      </c>
      <c r="I145" t="s">
        <v>121</v>
      </c>
      <c r="J145">
        <v>130</v>
      </c>
      <c r="K145">
        <v>320</v>
      </c>
    </row>
    <row r="146" spans="1:11" x14ac:dyDescent="0.3">
      <c r="A146" s="1">
        <v>46289</v>
      </c>
      <c r="B146" t="s">
        <v>11</v>
      </c>
      <c r="C146" t="s">
        <v>66</v>
      </c>
      <c r="D146" t="s">
        <v>67</v>
      </c>
      <c r="E146">
        <v>780</v>
      </c>
      <c r="F146">
        <v>6</v>
      </c>
      <c r="G146">
        <v>1</v>
      </c>
      <c r="H146" t="s">
        <v>26</v>
      </c>
      <c r="I146" t="s">
        <v>167</v>
      </c>
      <c r="J146">
        <v>550</v>
      </c>
      <c r="K146">
        <v>850</v>
      </c>
    </row>
    <row r="147" spans="1:11" x14ac:dyDescent="0.3">
      <c r="A147" s="1">
        <v>46290</v>
      </c>
      <c r="B147" t="s">
        <v>11</v>
      </c>
      <c r="C147" t="s">
        <v>96</v>
      </c>
      <c r="D147" t="s">
        <v>97</v>
      </c>
      <c r="E147">
        <v>569</v>
      </c>
      <c r="F147">
        <v>5.8</v>
      </c>
      <c r="G147">
        <v>2</v>
      </c>
      <c r="H147" t="s">
        <v>22</v>
      </c>
      <c r="I147" t="s">
        <v>168</v>
      </c>
      <c r="J147">
        <v>360</v>
      </c>
      <c r="K147">
        <v>890</v>
      </c>
    </row>
    <row r="148" spans="1:11" x14ac:dyDescent="0.3">
      <c r="A148" s="1">
        <v>46290</v>
      </c>
      <c r="B148" t="s">
        <v>11</v>
      </c>
      <c r="C148" t="s">
        <v>24</v>
      </c>
      <c r="D148" t="s">
        <v>25</v>
      </c>
      <c r="E148">
        <v>804</v>
      </c>
      <c r="F148">
        <v>3.8</v>
      </c>
      <c r="G148">
        <v>2</v>
      </c>
      <c r="H148" t="s">
        <v>33</v>
      </c>
      <c r="I148" t="s">
        <v>169</v>
      </c>
      <c r="J148">
        <v>620</v>
      </c>
      <c r="K148">
        <v>870</v>
      </c>
    </row>
    <row r="149" spans="1:11" x14ac:dyDescent="0.3">
      <c r="A149" s="1">
        <v>46290</v>
      </c>
      <c r="B149" t="s">
        <v>11</v>
      </c>
      <c r="C149" t="s">
        <v>79</v>
      </c>
      <c r="D149" t="s">
        <v>80</v>
      </c>
      <c r="E149">
        <v>98</v>
      </c>
      <c r="F149">
        <v>10</v>
      </c>
      <c r="G149">
        <v>0</v>
      </c>
      <c r="H149" t="s">
        <v>41</v>
      </c>
      <c r="I149" t="s">
        <v>58</v>
      </c>
      <c r="J149">
        <v>180</v>
      </c>
      <c r="K149">
        <v>390</v>
      </c>
    </row>
    <row r="150" spans="1:11" x14ac:dyDescent="0.3">
      <c r="A150" s="1">
        <v>46290</v>
      </c>
      <c r="B150" t="s">
        <v>11</v>
      </c>
      <c r="C150" t="s">
        <v>62</v>
      </c>
      <c r="D150" t="s">
        <v>63</v>
      </c>
      <c r="E150">
        <v>729</v>
      </c>
      <c r="F150">
        <v>6</v>
      </c>
      <c r="G150">
        <v>1</v>
      </c>
      <c r="H150" t="s">
        <v>26</v>
      </c>
      <c r="I150" t="s">
        <v>170</v>
      </c>
      <c r="J150">
        <v>500</v>
      </c>
      <c r="K150">
        <v>960</v>
      </c>
    </row>
    <row r="151" spans="1:11" x14ac:dyDescent="0.3">
      <c r="A151" s="1">
        <v>46290</v>
      </c>
      <c r="B151" t="s">
        <v>11</v>
      </c>
      <c r="C151" t="s">
        <v>100</v>
      </c>
      <c r="D151" t="s">
        <v>101</v>
      </c>
      <c r="E151">
        <v>103</v>
      </c>
      <c r="F151">
        <v>10</v>
      </c>
      <c r="G151">
        <v>0</v>
      </c>
      <c r="H151" t="s">
        <v>41</v>
      </c>
      <c r="I151" t="s">
        <v>135</v>
      </c>
      <c r="J151">
        <v>125</v>
      </c>
      <c r="K151">
        <v>420</v>
      </c>
    </row>
    <row r="152" spans="1:11" x14ac:dyDescent="0.3">
      <c r="A152" s="1">
        <v>46290</v>
      </c>
      <c r="B152" t="s">
        <v>11</v>
      </c>
      <c r="C152" t="s">
        <v>116</v>
      </c>
      <c r="D152" t="s">
        <v>117</v>
      </c>
      <c r="E152">
        <v>355</v>
      </c>
      <c r="F152">
        <v>8</v>
      </c>
      <c r="G152">
        <v>1</v>
      </c>
      <c r="H152" t="s">
        <v>14</v>
      </c>
      <c r="I152" t="s">
        <v>128</v>
      </c>
      <c r="J152">
        <v>385</v>
      </c>
      <c r="K152">
        <v>550</v>
      </c>
    </row>
    <row r="153" spans="1:11" x14ac:dyDescent="0.3">
      <c r="A153" s="1">
        <v>46290</v>
      </c>
      <c r="B153" t="s">
        <v>11</v>
      </c>
      <c r="C153" t="s">
        <v>46</v>
      </c>
      <c r="D153" t="s">
        <v>47</v>
      </c>
      <c r="E153">
        <v>718</v>
      </c>
      <c r="F153">
        <v>6</v>
      </c>
      <c r="G153">
        <v>1</v>
      </c>
      <c r="H153" t="s">
        <v>26</v>
      </c>
      <c r="I153" t="s">
        <v>167</v>
      </c>
      <c r="J153">
        <v>490</v>
      </c>
      <c r="K153">
        <v>720</v>
      </c>
    </row>
    <row r="154" spans="1:11" x14ac:dyDescent="0.3">
      <c r="A154" s="1">
        <v>46290</v>
      </c>
      <c r="B154" t="s">
        <v>11</v>
      </c>
      <c r="C154" t="s">
        <v>90</v>
      </c>
      <c r="D154" t="s">
        <v>91</v>
      </c>
      <c r="E154">
        <v>298</v>
      </c>
      <c r="F154">
        <v>6</v>
      </c>
      <c r="G154">
        <v>1</v>
      </c>
      <c r="H154" t="s">
        <v>77</v>
      </c>
      <c r="I154" t="s">
        <v>171</v>
      </c>
      <c r="J154">
        <v>230</v>
      </c>
      <c r="K154">
        <v>490</v>
      </c>
    </row>
    <row r="155" spans="1:11" x14ac:dyDescent="0.3">
      <c r="A155" s="1">
        <v>46290</v>
      </c>
      <c r="B155" t="s">
        <v>11</v>
      </c>
      <c r="C155" t="s">
        <v>84</v>
      </c>
      <c r="D155" t="s">
        <v>85</v>
      </c>
      <c r="E155">
        <v>124</v>
      </c>
      <c r="F155">
        <v>9.1999999999999993</v>
      </c>
      <c r="G155">
        <v>0</v>
      </c>
      <c r="H155" t="s">
        <v>77</v>
      </c>
      <c r="I155" t="s">
        <v>172</v>
      </c>
      <c r="J155">
        <v>75</v>
      </c>
      <c r="K155">
        <v>145</v>
      </c>
    </row>
    <row r="156" spans="1:11" x14ac:dyDescent="0.3">
      <c r="A156" s="1">
        <v>46291</v>
      </c>
      <c r="B156" t="s">
        <v>11</v>
      </c>
      <c r="C156" t="s">
        <v>87</v>
      </c>
      <c r="D156" t="s">
        <v>88</v>
      </c>
      <c r="E156">
        <v>208</v>
      </c>
      <c r="F156">
        <v>6.2</v>
      </c>
      <c r="G156">
        <v>0</v>
      </c>
      <c r="H156" t="s">
        <v>41</v>
      </c>
      <c r="I156" t="s">
        <v>120</v>
      </c>
      <c r="J156">
        <v>305</v>
      </c>
      <c r="K156">
        <v>580</v>
      </c>
    </row>
    <row r="157" spans="1:11" x14ac:dyDescent="0.3">
      <c r="A157" s="1">
        <v>46291</v>
      </c>
      <c r="B157" t="s">
        <v>11</v>
      </c>
      <c r="C157" t="s">
        <v>16</v>
      </c>
      <c r="D157" t="s">
        <v>17</v>
      </c>
      <c r="E157">
        <v>212</v>
      </c>
      <c r="F157">
        <v>4</v>
      </c>
      <c r="G157">
        <v>1</v>
      </c>
      <c r="H157" t="s">
        <v>41</v>
      </c>
      <c r="I157" t="s">
        <v>95</v>
      </c>
      <c r="J157">
        <v>135</v>
      </c>
      <c r="K157">
        <v>325</v>
      </c>
    </row>
    <row r="158" spans="1:11" x14ac:dyDescent="0.3">
      <c r="A158" s="1">
        <v>46291</v>
      </c>
      <c r="B158" t="s">
        <v>11</v>
      </c>
      <c r="C158" t="s">
        <v>59</v>
      </c>
      <c r="D158" t="s">
        <v>60</v>
      </c>
      <c r="E158">
        <v>289</v>
      </c>
      <c r="F158">
        <v>4.2</v>
      </c>
      <c r="G158">
        <v>0</v>
      </c>
      <c r="H158" t="s">
        <v>26</v>
      </c>
      <c r="I158" t="s">
        <v>173</v>
      </c>
      <c r="J158">
        <v>195</v>
      </c>
      <c r="K158">
        <v>300</v>
      </c>
    </row>
    <row r="159" spans="1:11" x14ac:dyDescent="0.3">
      <c r="A159" s="1">
        <v>46292</v>
      </c>
      <c r="B159" t="s">
        <v>11</v>
      </c>
      <c r="C159" t="s">
        <v>103</v>
      </c>
      <c r="D159" t="s">
        <v>104</v>
      </c>
      <c r="E159">
        <v>460</v>
      </c>
      <c r="F159">
        <v>8</v>
      </c>
      <c r="G159">
        <v>1</v>
      </c>
      <c r="H159" t="s">
        <v>14</v>
      </c>
      <c r="I159" t="s">
        <v>174</v>
      </c>
      <c r="J159">
        <v>305</v>
      </c>
      <c r="K159">
        <v>930</v>
      </c>
    </row>
    <row r="160" spans="1:11" x14ac:dyDescent="0.3">
      <c r="A160" s="1">
        <v>46293</v>
      </c>
      <c r="B160" t="s">
        <v>11</v>
      </c>
      <c r="C160" t="s">
        <v>35</v>
      </c>
      <c r="D160" t="s">
        <v>36</v>
      </c>
      <c r="E160">
        <v>309</v>
      </c>
      <c r="F160">
        <v>4.2</v>
      </c>
      <c r="G160">
        <v>0</v>
      </c>
      <c r="H160" t="s">
        <v>37</v>
      </c>
      <c r="I160" t="s">
        <v>38</v>
      </c>
      <c r="J160">
        <v>215</v>
      </c>
      <c r="K160">
        <v>380</v>
      </c>
    </row>
    <row r="161" spans="1:11" x14ac:dyDescent="0.3">
      <c r="A161" s="1">
        <v>46293</v>
      </c>
      <c r="B161" t="s">
        <v>11</v>
      </c>
      <c r="C161" t="s">
        <v>43</v>
      </c>
      <c r="D161" t="s">
        <v>44</v>
      </c>
      <c r="E161">
        <v>301</v>
      </c>
      <c r="F161">
        <v>4</v>
      </c>
      <c r="G161">
        <v>1</v>
      </c>
      <c r="H161" t="s">
        <v>77</v>
      </c>
      <c r="I161" t="s">
        <v>75</v>
      </c>
      <c r="J161">
        <v>145</v>
      </c>
      <c r="K161">
        <v>390</v>
      </c>
    </row>
    <row r="162" spans="1:11" x14ac:dyDescent="0.3">
      <c r="A162" s="1">
        <v>46293</v>
      </c>
      <c r="B162" t="s">
        <v>11</v>
      </c>
      <c r="C162" t="s">
        <v>39</v>
      </c>
      <c r="D162" t="s">
        <v>40</v>
      </c>
      <c r="E162">
        <v>245</v>
      </c>
      <c r="F162">
        <v>8</v>
      </c>
      <c r="G162">
        <v>1</v>
      </c>
      <c r="H162" t="s">
        <v>41</v>
      </c>
      <c r="I162" t="s">
        <v>111</v>
      </c>
      <c r="J162">
        <v>295</v>
      </c>
      <c r="K162">
        <v>435</v>
      </c>
    </row>
    <row r="163" spans="1:11" x14ac:dyDescent="0.3">
      <c r="A163" s="1">
        <v>46293</v>
      </c>
      <c r="B163" t="s">
        <v>11</v>
      </c>
      <c r="C163" t="s">
        <v>20</v>
      </c>
      <c r="D163" t="s">
        <v>21</v>
      </c>
      <c r="E163">
        <v>297</v>
      </c>
      <c r="F163">
        <v>4.2</v>
      </c>
      <c r="G163">
        <v>0</v>
      </c>
      <c r="H163" t="s">
        <v>22</v>
      </c>
      <c r="I163" t="s">
        <v>175</v>
      </c>
      <c r="J163">
        <v>280</v>
      </c>
      <c r="K163">
        <v>550</v>
      </c>
    </row>
    <row r="164" spans="1:11" x14ac:dyDescent="0.3">
      <c r="A164" s="1">
        <v>46294</v>
      </c>
      <c r="B164" t="s">
        <v>11</v>
      </c>
      <c r="C164" t="s">
        <v>12</v>
      </c>
      <c r="D164" t="s">
        <v>13</v>
      </c>
      <c r="E164">
        <v>309</v>
      </c>
      <c r="F164">
        <v>4.2</v>
      </c>
      <c r="G164">
        <v>0</v>
      </c>
      <c r="H164" t="s">
        <v>14</v>
      </c>
      <c r="I164" t="s">
        <v>133</v>
      </c>
      <c r="J164">
        <v>175</v>
      </c>
      <c r="K164">
        <v>340</v>
      </c>
    </row>
    <row r="165" spans="1:11" x14ac:dyDescent="0.3">
      <c r="A165" s="1">
        <v>46294</v>
      </c>
      <c r="B165" t="s">
        <v>11</v>
      </c>
      <c r="C165" t="s">
        <v>84</v>
      </c>
      <c r="D165" t="s">
        <v>85</v>
      </c>
      <c r="E165">
        <v>128</v>
      </c>
      <c r="F165">
        <v>9.1999999999999993</v>
      </c>
      <c r="G165">
        <v>0</v>
      </c>
      <c r="H165" t="s">
        <v>77</v>
      </c>
      <c r="I165" t="s">
        <v>176</v>
      </c>
      <c r="J165">
        <v>140</v>
      </c>
      <c r="K165">
        <v>250</v>
      </c>
    </row>
    <row r="166" spans="1:11" x14ac:dyDescent="0.3">
      <c r="A166" s="1">
        <v>46294</v>
      </c>
      <c r="B166" t="s">
        <v>11</v>
      </c>
      <c r="C166" t="s">
        <v>53</v>
      </c>
      <c r="D166" t="s">
        <v>54</v>
      </c>
      <c r="E166">
        <v>334</v>
      </c>
      <c r="F166">
        <v>7</v>
      </c>
      <c r="G166">
        <v>1</v>
      </c>
      <c r="H166" t="s">
        <v>41</v>
      </c>
      <c r="I166" t="s">
        <v>177</v>
      </c>
      <c r="J166">
        <v>290</v>
      </c>
      <c r="K166">
        <v>415</v>
      </c>
    </row>
    <row r="167" spans="1:11" x14ac:dyDescent="0.3">
      <c r="A167" s="1">
        <v>46294</v>
      </c>
      <c r="B167" t="s">
        <v>11</v>
      </c>
      <c r="C167" t="s">
        <v>116</v>
      </c>
      <c r="D167" t="s">
        <v>117</v>
      </c>
      <c r="E167">
        <v>329</v>
      </c>
      <c r="F167">
        <v>9</v>
      </c>
      <c r="G167">
        <v>1</v>
      </c>
      <c r="H167" t="s">
        <v>14</v>
      </c>
      <c r="I167" t="s">
        <v>178</v>
      </c>
      <c r="J167">
        <v>260</v>
      </c>
      <c r="K167">
        <v>370</v>
      </c>
    </row>
    <row r="168" spans="1:11" x14ac:dyDescent="0.3">
      <c r="A168" s="1">
        <v>46294</v>
      </c>
      <c r="B168" t="s">
        <v>11</v>
      </c>
      <c r="C168" t="s">
        <v>28</v>
      </c>
      <c r="D168" t="s">
        <v>29</v>
      </c>
      <c r="E168">
        <v>428</v>
      </c>
      <c r="F168">
        <v>3.8</v>
      </c>
      <c r="G168">
        <v>2</v>
      </c>
      <c r="H168" t="s">
        <v>14</v>
      </c>
      <c r="I168" t="s">
        <v>179</v>
      </c>
      <c r="J168">
        <v>300</v>
      </c>
      <c r="K168">
        <v>325</v>
      </c>
    </row>
    <row r="169" spans="1:11" x14ac:dyDescent="0.3">
      <c r="A169" s="1">
        <v>46295</v>
      </c>
      <c r="B169" t="s">
        <v>11</v>
      </c>
      <c r="C169" t="s">
        <v>112</v>
      </c>
      <c r="D169" t="s">
        <v>113</v>
      </c>
      <c r="E169">
        <v>249</v>
      </c>
      <c r="F169">
        <v>4</v>
      </c>
      <c r="G169">
        <v>1</v>
      </c>
      <c r="H169" t="s">
        <v>77</v>
      </c>
      <c r="I169" t="s">
        <v>98</v>
      </c>
      <c r="J169">
        <v>190</v>
      </c>
      <c r="K169">
        <v>390</v>
      </c>
    </row>
    <row r="170" spans="1:11" x14ac:dyDescent="0.3">
      <c r="A170" s="1">
        <v>46295</v>
      </c>
      <c r="B170" t="s">
        <v>11</v>
      </c>
      <c r="C170" t="s">
        <v>56</v>
      </c>
      <c r="D170" t="s">
        <v>57</v>
      </c>
      <c r="E170">
        <v>303</v>
      </c>
      <c r="F170">
        <v>3.8</v>
      </c>
      <c r="G170">
        <v>2</v>
      </c>
      <c r="H170" t="s">
        <v>14</v>
      </c>
      <c r="I170" t="s">
        <v>58</v>
      </c>
      <c r="J170">
        <v>150</v>
      </c>
      <c r="K170">
        <v>530</v>
      </c>
    </row>
    <row r="171" spans="1:11" x14ac:dyDescent="0.3">
      <c r="A171" s="1">
        <v>46295</v>
      </c>
      <c r="B171" t="s">
        <v>11</v>
      </c>
      <c r="C171" t="s">
        <v>116</v>
      </c>
      <c r="D171" t="s">
        <v>117</v>
      </c>
      <c r="E171">
        <v>329</v>
      </c>
      <c r="F171">
        <v>9</v>
      </c>
      <c r="G171">
        <v>1</v>
      </c>
      <c r="H171" t="s">
        <v>14</v>
      </c>
      <c r="I171" t="s">
        <v>122</v>
      </c>
      <c r="J171">
        <v>345</v>
      </c>
      <c r="K171">
        <v>700</v>
      </c>
    </row>
    <row r="172" spans="1:11" x14ac:dyDescent="0.3">
      <c r="A172" s="1">
        <v>46295</v>
      </c>
      <c r="B172" t="s">
        <v>11</v>
      </c>
      <c r="C172" t="s">
        <v>49</v>
      </c>
      <c r="D172" t="s">
        <v>50</v>
      </c>
      <c r="E172">
        <v>167</v>
      </c>
      <c r="F172">
        <v>8.1999999999999993</v>
      </c>
      <c r="G172">
        <v>0</v>
      </c>
      <c r="H172" t="s">
        <v>51</v>
      </c>
      <c r="I172" t="s">
        <v>83</v>
      </c>
      <c r="J172">
        <v>225</v>
      </c>
      <c r="K172">
        <v>405</v>
      </c>
    </row>
    <row r="173" spans="1:11" x14ac:dyDescent="0.3">
      <c r="A173" s="1">
        <v>46296</v>
      </c>
      <c r="B173" t="s">
        <v>11</v>
      </c>
      <c r="C173" t="s">
        <v>90</v>
      </c>
      <c r="D173" t="s">
        <v>91</v>
      </c>
      <c r="E173">
        <v>267</v>
      </c>
      <c r="F173">
        <v>6</v>
      </c>
      <c r="G173">
        <v>1</v>
      </c>
      <c r="H173" t="s">
        <v>77</v>
      </c>
      <c r="I173" t="s">
        <v>171</v>
      </c>
      <c r="J173">
        <v>235</v>
      </c>
      <c r="K173">
        <v>495</v>
      </c>
    </row>
    <row r="174" spans="1:11" x14ac:dyDescent="0.3">
      <c r="A174" s="1">
        <v>46296</v>
      </c>
      <c r="B174" t="s">
        <v>11</v>
      </c>
      <c r="C174" t="s">
        <v>31</v>
      </c>
      <c r="D174" t="s">
        <v>32</v>
      </c>
      <c r="E174">
        <v>921</v>
      </c>
      <c r="F174">
        <v>3.8</v>
      </c>
      <c r="G174">
        <v>2</v>
      </c>
      <c r="H174" t="s">
        <v>26</v>
      </c>
      <c r="I174" t="s">
        <v>180</v>
      </c>
      <c r="J174">
        <v>800</v>
      </c>
      <c r="K174">
        <v>1100</v>
      </c>
    </row>
    <row r="175" spans="1:11" x14ac:dyDescent="0.3">
      <c r="A175" s="1">
        <v>46296</v>
      </c>
      <c r="B175" t="s">
        <v>11</v>
      </c>
      <c r="C175" t="s">
        <v>69</v>
      </c>
      <c r="D175" t="s">
        <v>70</v>
      </c>
      <c r="E175">
        <v>699</v>
      </c>
      <c r="F175">
        <v>5.8</v>
      </c>
      <c r="G175">
        <v>2</v>
      </c>
      <c r="H175" t="s">
        <v>33</v>
      </c>
      <c r="I175" t="s">
        <v>128</v>
      </c>
      <c r="J175">
        <v>580</v>
      </c>
      <c r="K175">
        <v>850</v>
      </c>
    </row>
    <row r="176" spans="1:11" x14ac:dyDescent="0.3">
      <c r="A176" s="1">
        <v>46296</v>
      </c>
      <c r="B176" t="s">
        <v>11</v>
      </c>
      <c r="C176" t="s">
        <v>66</v>
      </c>
      <c r="D176" t="s">
        <v>67</v>
      </c>
      <c r="E176">
        <v>774</v>
      </c>
      <c r="F176">
        <v>6</v>
      </c>
      <c r="G176">
        <v>1</v>
      </c>
      <c r="H176" t="s">
        <v>26</v>
      </c>
      <c r="I176" t="s">
        <v>181</v>
      </c>
      <c r="J176">
        <v>550</v>
      </c>
      <c r="K176">
        <v>1100</v>
      </c>
    </row>
    <row r="177" spans="1:11" x14ac:dyDescent="0.3">
      <c r="A177" s="1">
        <v>46297</v>
      </c>
      <c r="B177" t="s">
        <v>11</v>
      </c>
      <c r="C177" t="s">
        <v>62</v>
      </c>
      <c r="D177" t="s">
        <v>63</v>
      </c>
      <c r="E177">
        <v>724</v>
      </c>
      <c r="F177">
        <v>5.8</v>
      </c>
      <c r="G177">
        <v>2</v>
      </c>
      <c r="H177" t="s">
        <v>33</v>
      </c>
      <c r="I177" t="s">
        <v>181</v>
      </c>
      <c r="J177">
        <v>550</v>
      </c>
      <c r="K177">
        <v>1200</v>
      </c>
    </row>
    <row r="178" spans="1:11" x14ac:dyDescent="0.3">
      <c r="A178" s="1">
        <v>46297</v>
      </c>
      <c r="B178" t="s">
        <v>11</v>
      </c>
      <c r="C178" t="s">
        <v>96</v>
      </c>
      <c r="D178" t="s">
        <v>97</v>
      </c>
      <c r="E178">
        <v>636</v>
      </c>
      <c r="F178">
        <v>6</v>
      </c>
      <c r="G178">
        <v>1</v>
      </c>
      <c r="H178" t="s">
        <v>14</v>
      </c>
      <c r="I178" t="s">
        <v>182</v>
      </c>
      <c r="J178">
        <v>360</v>
      </c>
      <c r="K178">
        <v>680</v>
      </c>
    </row>
    <row r="179" spans="1:11" x14ac:dyDescent="0.3">
      <c r="A179" s="1">
        <v>46297</v>
      </c>
      <c r="B179" t="s">
        <v>11</v>
      </c>
      <c r="C179" t="s">
        <v>24</v>
      </c>
      <c r="D179" t="s">
        <v>25</v>
      </c>
      <c r="E179">
        <v>859</v>
      </c>
      <c r="F179">
        <v>3.8</v>
      </c>
      <c r="G179">
        <v>2</v>
      </c>
      <c r="H179" t="s">
        <v>33</v>
      </c>
      <c r="I179" t="s">
        <v>183</v>
      </c>
      <c r="J179">
        <v>640</v>
      </c>
      <c r="K179">
        <v>1050</v>
      </c>
    </row>
    <row r="180" spans="1:11" x14ac:dyDescent="0.3">
      <c r="A180" s="1">
        <v>46297</v>
      </c>
      <c r="B180" t="s">
        <v>11</v>
      </c>
      <c r="C180" t="s">
        <v>100</v>
      </c>
      <c r="D180" t="s">
        <v>101</v>
      </c>
      <c r="E180">
        <v>108</v>
      </c>
      <c r="F180">
        <v>10</v>
      </c>
      <c r="G180">
        <v>0</v>
      </c>
      <c r="H180" t="s">
        <v>41</v>
      </c>
      <c r="I180" t="s">
        <v>184</v>
      </c>
      <c r="J180">
        <v>95</v>
      </c>
      <c r="K180">
        <v>210</v>
      </c>
    </row>
    <row r="181" spans="1:11" x14ac:dyDescent="0.3">
      <c r="A181" s="1">
        <v>46297</v>
      </c>
      <c r="B181" t="s">
        <v>11</v>
      </c>
      <c r="C181" t="s">
        <v>79</v>
      </c>
      <c r="D181" t="s">
        <v>80</v>
      </c>
      <c r="E181">
        <v>118</v>
      </c>
      <c r="F181">
        <v>10</v>
      </c>
      <c r="G181">
        <v>0</v>
      </c>
      <c r="H181" t="s">
        <v>41</v>
      </c>
      <c r="I181" t="s">
        <v>185</v>
      </c>
      <c r="J181">
        <v>265</v>
      </c>
      <c r="K181">
        <v>495</v>
      </c>
    </row>
    <row r="182" spans="1:11" x14ac:dyDescent="0.3">
      <c r="A182" s="1">
        <v>46297</v>
      </c>
      <c r="B182" t="s">
        <v>11</v>
      </c>
      <c r="C182" t="s">
        <v>46</v>
      </c>
      <c r="D182" t="s">
        <v>47</v>
      </c>
      <c r="E182">
        <v>805</v>
      </c>
      <c r="F182">
        <v>4</v>
      </c>
      <c r="G182">
        <v>1</v>
      </c>
      <c r="H182" t="s">
        <v>26</v>
      </c>
      <c r="I182" t="s">
        <v>186</v>
      </c>
      <c r="J182">
        <v>550</v>
      </c>
      <c r="K182">
        <v>1050</v>
      </c>
    </row>
    <row r="183" spans="1:11" x14ac:dyDescent="0.3">
      <c r="A183" s="1">
        <v>46298</v>
      </c>
      <c r="B183" t="s">
        <v>11</v>
      </c>
      <c r="C183" t="s">
        <v>84</v>
      </c>
      <c r="D183" t="s">
        <v>85</v>
      </c>
      <c r="E183">
        <v>104</v>
      </c>
      <c r="F183">
        <v>10</v>
      </c>
      <c r="G183">
        <v>0</v>
      </c>
      <c r="H183" t="s">
        <v>77</v>
      </c>
      <c r="I183" t="s">
        <v>187</v>
      </c>
      <c r="J183">
        <v>105</v>
      </c>
      <c r="K183">
        <v>265</v>
      </c>
    </row>
    <row r="184" spans="1:11" x14ac:dyDescent="0.3">
      <c r="A184" s="1">
        <v>46298</v>
      </c>
      <c r="B184" t="s">
        <v>11</v>
      </c>
      <c r="C184" t="s">
        <v>16</v>
      </c>
      <c r="D184" t="s">
        <v>17</v>
      </c>
      <c r="E184">
        <v>264</v>
      </c>
      <c r="F184">
        <v>4</v>
      </c>
      <c r="G184">
        <v>1</v>
      </c>
      <c r="H184" t="s">
        <v>41</v>
      </c>
      <c r="I184" t="s">
        <v>75</v>
      </c>
      <c r="J184">
        <v>100</v>
      </c>
      <c r="K184">
        <v>380</v>
      </c>
    </row>
    <row r="185" spans="1:11" x14ac:dyDescent="0.3">
      <c r="A185" s="1">
        <v>46298</v>
      </c>
      <c r="B185" t="s">
        <v>11</v>
      </c>
      <c r="C185" t="s">
        <v>87</v>
      </c>
      <c r="D185" t="s">
        <v>88</v>
      </c>
      <c r="E185">
        <v>188</v>
      </c>
      <c r="F185">
        <v>7.2</v>
      </c>
      <c r="G185">
        <v>0</v>
      </c>
      <c r="H185" t="s">
        <v>41</v>
      </c>
      <c r="I185" t="s">
        <v>188</v>
      </c>
      <c r="J185">
        <v>260</v>
      </c>
      <c r="K185">
        <v>500</v>
      </c>
    </row>
    <row r="186" spans="1:11" x14ac:dyDescent="0.3">
      <c r="A186" s="1">
        <v>46298</v>
      </c>
      <c r="B186" t="s">
        <v>11</v>
      </c>
      <c r="C186" t="s">
        <v>39</v>
      </c>
      <c r="D186" t="s">
        <v>40</v>
      </c>
      <c r="E186">
        <v>268</v>
      </c>
      <c r="F186">
        <v>7.2</v>
      </c>
      <c r="G186">
        <v>0</v>
      </c>
      <c r="H186" t="s">
        <v>41</v>
      </c>
      <c r="I186" t="s">
        <v>189</v>
      </c>
      <c r="J186">
        <v>275</v>
      </c>
      <c r="K186">
        <v>520</v>
      </c>
    </row>
    <row r="187" spans="1:11" x14ac:dyDescent="0.3">
      <c r="A187" s="1">
        <v>46298</v>
      </c>
      <c r="B187" t="s">
        <v>11</v>
      </c>
      <c r="C187" t="s">
        <v>59</v>
      </c>
      <c r="D187" t="s">
        <v>60</v>
      </c>
      <c r="E187">
        <v>289</v>
      </c>
      <c r="F187">
        <v>4.2</v>
      </c>
      <c r="G187">
        <v>0</v>
      </c>
      <c r="H187" t="s">
        <v>26</v>
      </c>
      <c r="I187" t="s">
        <v>38</v>
      </c>
      <c r="J187">
        <v>175</v>
      </c>
      <c r="K187">
        <v>335</v>
      </c>
    </row>
    <row r="188" spans="1:11" x14ac:dyDescent="0.3">
      <c r="A188" s="1">
        <v>46299</v>
      </c>
      <c r="B188" t="s">
        <v>11</v>
      </c>
      <c r="C188" t="s">
        <v>103</v>
      </c>
      <c r="D188" t="s">
        <v>104</v>
      </c>
      <c r="E188">
        <v>460</v>
      </c>
      <c r="F188">
        <v>8</v>
      </c>
      <c r="G188">
        <v>1</v>
      </c>
      <c r="H188" t="s">
        <v>14</v>
      </c>
      <c r="I188" t="s">
        <v>147</v>
      </c>
      <c r="J188">
        <v>305</v>
      </c>
      <c r="K188">
        <v>680</v>
      </c>
    </row>
    <row r="189" spans="1:11" x14ac:dyDescent="0.3">
      <c r="A189" s="1">
        <v>46300</v>
      </c>
      <c r="B189" t="s">
        <v>11</v>
      </c>
      <c r="C189" t="s">
        <v>35</v>
      </c>
      <c r="D189" t="s">
        <v>36</v>
      </c>
      <c r="E189">
        <v>309</v>
      </c>
      <c r="F189">
        <v>4.2</v>
      </c>
      <c r="G189">
        <v>0</v>
      </c>
      <c r="H189" t="s">
        <v>37</v>
      </c>
      <c r="I189" t="s">
        <v>133</v>
      </c>
      <c r="J189">
        <v>200</v>
      </c>
      <c r="K189">
        <v>410</v>
      </c>
    </row>
    <row r="190" spans="1:11" x14ac:dyDescent="0.3">
      <c r="A190" s="1">
        <v>46300</v>
      </c>
      <c r="B190" t="s">
        <v>11</v>
      </c>
      <c r="C190" t="s">
        <v>43</v>
      </c>
      <c r="D190" t="s">
        <v>44</v>
      </c>
      <c r="E190">
        <v>276</v>
      </c>
      <c r="F190">
        <v>6</v>
      </c>
      <c r="G190">
        <v>1</v>
      </c>
      <c r="H190" t="s">
        <v>22</v>
      </c>
      <c r="I190" t="s">
        <v>190</v>
      </c>
      <c r="J190">
        <v>140</v>
      </c>
      <c r="K190">
        <v>290</v>
      </c>
    </row>
    <row r="191" spans="1:11" x14ac:dyDescent="0.3">
      <c r="A191" s="1">
        <v>46300</v>
      </c>
      <c r="B191" t="s">
        <v>11</v>
      </c>
      <c r="C191" t="s">
        <v>90</v>
      </c>
      <c r="D191" t="s">
        <v>91</v>
      </c>
      <c r="E191">
        <v>320</v>
      </c>
      <c r="F191">
        <v>4</v>
      </c>
      <c r="G191">
        <v>1</v>
      </c>
      <c r="H191" t="s">
        <v>22</v>
      </c>
      <c r="I191" t="s">
        <v>151</v>
      </c>
      <c r="J191">
        <v>235</v>
      </c>
      <c r="K191">
        <v>425</v>
      </c>
    </row>
    <row r="192" spans="1:11" x14ac:dyDescent="0.3">
      <c r="A192" s="1">
        <v>46300</v>
      </c>
      <c r="B192" t="s">
        <v>11</v>
      </c>
      <c r="C192" t="s">
        <v>56</v>
      </c>
      <c r="D192" t="s">
        <v>57</v>
      </c>
      <c r="E192">
        <v>270</v>
      </c>
      <c r="F192">
        <v>4</v>
      </c>
      <c r="G192">
        <v>1</v>
      </c>
      <c r="H192" t="s">
        <v>22</v>
      </c>
      <c r="I192" t="s">
        <v>148</v>
      </c>
      <c r="J192">
        <v>120</v>
      </c>
      <c r="K192">
        <v>345</v>
      </c>
    </row>
    <row r="193" spans="1:11" x14ac:dyDescent="0.3">
      <c r="A193" s="1">
        <v>46300</v>
      </c>
      <c r="B193" t="s">
        <v>11</v>
      </c>
      <c r="C193" t="s">
        <v>28</v>
      </c>
      <c r="D193" t="s">
        <v>29</v>
      </c>
      <c r="E193">
        <v>353</v>
      </c>
      <c r="F193">
        <v>7</v>
      </c>
      <c r="G193">
        <v>1</v>
      </c>
      <c r="H193" t="s">
        <v>14</v>
      </c>
      <c r="I193" t="s">
        <v>156</v>
      </c>
      <c r="J193">
        <v>315</v>
      </c>
      <c r="K193">
        <v>620</v>
      </c>
    </row>
    <row r="194" spans="1:11" x14ac:dyDescent="0.3">
      <c r="A194" s="1">
        <v>46300</v>
      </c>
      <c r="B194" t="s">
        <v>11</v>
      </c>
      <c r="C194" t="s">
        <v>39</v>
      </c>
      <c r="D194" t="s">
        <v>40</v>
      </c>
      <c r="E194">
        <v>288</v>
      </c>
      <c r="F194">
        <v>7</v>
      </c>
      <c r="G194">
        <v>1</v>
      </c>
      <c r="H194" t="s">
        <v>37</v>
      </c>
      <c r="I194" t="s">
        <v>131</v>
      </c>
      <c r="J194">
        <v>275</v>
      </c>
      <c r="K194">
        <v>520</v>
      </c>
    </row>
    <row r="195" spans="1:11" x14ac:dyDescent="0.3">
      <c r="A195" s="1">
        <v>46300</v>
      </c>
      <c r="B195" t="s">
        <v>11</v>
      </c>
      <c r="C195" t="s">
        <v>112</v>
      </c>
      <c r="D195" t="s">
        <v>113</v>
      </c>
      <c r="E195">
        <v>261</v>
      </c>
      <c r="F195">
        <v>4.2</v>
      </c>
      <c r="G195">
        <v>0</v>
      </c>
      <c r="H195" t="s">
        <v>14</v>
      </c>
      <c r="I195" t="s">
        <v>61</v>
      </c>
      <c r="J195">
        <v>160</v>
      </c>
      <c r="K195">
        <v>405</v>
      </c>
    </row>
    <row r="196" spans="1:11" x14ac:dyDescent="0.3">
      <c r="A196" s="1">
        <v>46300</v>
      </c>
      <c r="B196" t="s">
        <v>11</v>
      </c>
      <c r="C196" t="s">
        <v>20</v>
      </c>
      <c r="D196" t="s">
        <v>21</v>
      </c>
      <c r="E196">
        <v>268</v>
      </c>
      <c r="F196">
        <v>4.2</v>
      </c>
      <c r="G196">
        <v>0</v>
      </c>
      <c r="H196" t="s">
        <v>22</v>
      </c>
      <c r="I196" t="s">
        <v>191</v>
      </c>
      <c r="J196">
        <v>245</v>
      </c>
      <c r="K196">
        <v>500</v>
      </c>
    </row>
    <row r="197" spans="1:11" x14ac:dyDescent="0.3">
      <c r="A197" s="1">
        <v>46301</v>
      </c>
      <c r="B197" t="s">
        <v>11</v>
      </c>
      <c r="C197" t="s">
        <v>116</v>
      </c>
      <c r="D197" t="s">
        <v>117</v>
      </c>
      <c r="E197">
        <v>304</v>
      </c>
      <c r="F197">
        <v>10</v>
      </c>
      <c r="G197">
        <v>1</v>
      </c>
      <c r="H197" t="s">
        <v>14</v>
      </c>
      <c r="I197" t="s">
        <v>156</v>
      </c>
      <c r="J197">
        <v>310</v>
      </c>
      <c r="K197">
        <v>1050</v>
      </c>
    </row>
    <row r="198" spans="1:11" x14ac:dyDescent="0.3">
      <c r="A198" s="1">
        <v>46301</v>
      </c>
      <c r="B198" t="s">
        <v>11</v>
      </c>
      <c r="C198" t="s">
        <v>84</v>
      </c>
      <c r="D198" t="s">
        <v>85</v>
      </c>
      <c r="E198">
        <v>96</v>
      </c>
      <c r="F198">
        <v>10</v>
      </c>
      <c r="G198">
        <v>0</v>
      </c>
      <c r="H198" t="s">
        <v>77</v>
      </c>
      <c r="I198" t="s">
        <v>178</v>
      </c>
      <c r="J198">
        <v>75</v>
      </c>
      <c r="K198">
        <v>145</v>
      </c>
    </row>
    <row r="199" spans="1:11" x14ac:dyDescent="0.3">
      <c r="A199" s="1">
        <v>46301</v>
      </c>
      <c r="B199" t="s">
        <v>11</v>
      </c>
      <c r="C199" t="s">
        <v>53</v>
      </c>
      <c r="D199" t="s">
        <v>54</v>
      </c>
      <c r="E199">
        <v>350</v>
      </c>
      <c r="F199">
        <v>6</v>
      </c>
      <c r="G199">
        <v>1</v>
      </c>
      <c r="H199" t="s">
        <v>26</v>
      </c>
      <c r="I199" t="s">
        <v>30</v>
      </c>
      <c r="J199">
        <v>305</v>
      </c>
      <c r="K199">
        <v>630</v>
      </c>
    </row>
    <row r="200" spans="1:11" x14ac:dyDescent="0.3">
      <c r="A200" s="1">
        <v>46301</v>
      </c>
      <c r="B200" t="s">
        <v>11</v>
      </c>
      <c r="C200" t="s">
        <v>12</v>
      </c>
      <c r="D200" t="s">
        <v>13</v>
      </c>
      <c r="E200">
        <v>290</v>
      </c>
      <c r="F200">
        <v>4</v>
      </c>
      <c r="G200">
        <v>1</v>
      </c>
      <c r="H200" t="s">
        <v>77</v>
      </c>
      <c r="I200" t="s">
        <v>192</v>
      </c>
      <c r="J200">
        <v>175</v>
      </c>
      <c r="K200">
        <v>340</v>
      </c>
    </row>
    <row r="201" spans="1:11" x14ac:dyDescent="0.3">
      <c r="A201" s="1">
        <v>46302</v>
      </c>
      <c r="B201" t="s">
        <v>11</v>
      </c>
      <c r="C201" t="s">
        <v>39</v>
      </c>
      <c r="D201" t="s">
        <v>40</v>
      </c>
      <c r="E201">
        <v>212</v>
      </c>
      <c r="F201">
        <v>10</v>
      </c>
      <c r="G201">
        <v>1</v>
      </c>
      <c r="H201" t="s">
        <v>18</v>
      </c>
      <c r="I201" t="s">
        <v>159</v>
      </c>
      <c r="J201">
        <v>270</v>
      </c>
      <c r="K201">
        <v>460</v>
      </c>
    </row>
    <row r="202" spans="1:11" x14ac:dyDescent="0.3">
      <c r="A202" s="1">
        <v>46302</v>
      </c>
      <c r="B202" t="s">
        <v>11</v>
      </c>
      <c r="C202" t="s">
        <v>16</v>
      </c>
      <c r="D202" t="s">
        <v>17</v>
      </c>
      <c r="E202">
        <v>191</v>
      </c>
      <c r="F202">
        <v>3.8</v>
      </c>
      <c r="G202">
        <v>2</v>
      </c>
      <c r="H202" t="s">
        <v>22</v>
      </c>
      <c r="I202" t="s">
        <v>75</v>
      </c>
      <c r="J202">
        <v>100</v>
      </c>
      <c r="K202">
        <v>385</v>
      </c>
    </row>
    <row r="203" spans="1:11" x14ac:dyDescent="0.3">
      <c r="A203" s="1">
        <v>46302</v>
      </c>
      <c r="B203" t="s">
        <v>11</v>
      </c>
      <c r="C203" t="s">
        <v>112</v>
      </c>
      <c r="D203" t="s">
        <v>113</v>
      </c>
      <c r="E203">
        <v>221</v>
      </c>
      <c r="F203">
        <v>6</v>
      </c>
      <c r="G203">
        <v>1</v>
      </c>
      <c r="H203" t="s">
        <v>77</v>
      </c>
      <c r="I203" t="s">
        <v>193</v>
      </c>
      <c r="J203">
        <v>160</v>
      </c>
      <c r="K203">
        <v>405</v>
      </c>
    </row>
    <row r="204" spans="1:11" x14ac:dyDescent="0.3">
      <c r="A204" s="1">
        <v>46302</v>
      </c>
      <c r="B204" t="s">
        <v>11</v>
      </c>
      <c r="C204" t="s">
        <v>84</v>
      </c>
      <c r="D204" t="s">
        <v>85</v>
      </c>
      <c r="E204">
        <v>52</v>
      </c>
      <c r="F204">
        <v>10</v>
      </c>
      <c r="G204">
        <v>0</v>
      </c>
      <c r="H204" t="s">
        <v>77</v>
      </c>
      <c r="I204" t="s">
        <v>194</v>
      </c>
      <c r="J204">
        <v>110</v>
      </c>
      <c r="K204">
        <v>265</v>
      </c>
    </row>
    <row r="205" spans="1:11" x14ac:dyDescent="0.3">
      <c r="A205" s="1">
        <v>46302</v>
      </c>
      <c r="B205" t="s">
        <v>11</v>
      </c>
      <c r="C205" t="s">
        <v>49</v>
      </c>
      <c r="D205" t="s">
        <v>50</v>
      </c>
      <c r="E205">
        <v>141</v>
      </c>
      <c r="F205">
        <v>9.1999999999999993</v>
      </c>
      <c r="G205">
        <v>0</v>
      </c>
      <c r="H205" t="s">
        <v>51</v>
      </c>
      <c r="I205" t="s">
        <v>52</v>
      </c>
      <c r="J205">
        <v>190</v>
      </c>
      <c r="K205">
        <v>375</v>
      </c>
    </row>
    <row r="206" spans="1:11" x14ac:dyDescent="0.3">
      <c r="A206" s="1">
        <v>46303</v>
      </c>
      <c r="B206" t="s">
        <v>11</v>
      </c>
      <c r="C206" t="s">
        <v>87</v>
      </c>
      <c r="D206" t="s">
        <v>88</v>
      </c>
      <c r="E206">
        <v>143</v>
      </c>
      <c r="F206">
        <v>9.1999999999999993</v>
      </c>
      <c r="G206">
        <v>0</v>
      </c>
      <c r="H206" t="s">
        <v>41</v>
      </c>
      <c r="I206" t="s">
        <v>195</v>
      </c>
      <c r="J206">
        <v>210</v>
      </c>
      <c r="K206">
        <v>435</v>
      </c>
    </row>
    <row r="207" spans="1:11" x14ac:dyDescent="0.3">
      <c r="A207" s="1">
        <v>46303</v>
      </c>
      <c r="B207" t="s">
        <v>11</v>
      </c>
      <c r="C207" t="s">
        <v>103</v>
      </c>
      <c r="D207" t="s">
        <v>104</v>
      </c>
      <c r="E207">
        <v>403</v>
      </c>
      <c r="F207">
        <v>9</v>
      </c>
      <c r="G207">
        <v>1</v>
      </c>
      <c r="H207" t="s">
        <v>18</v>
      </c>
      <c r="I207" t="s">
        <v>196</v>
      </c>
      <c r="J207">
        <v>305</v>
      </c>
      <c r="K207">
        <v>700</v>
      </c>
    </row>
    <row r="208" spans="1:11" x14ac:dyDescent="0.3">
      <c r="A208" s="1">
        <v>46303</v>
      </c>
      <c r="B208" t="s">
        <v>11</v>
      </c>
      <c r="C208" t="s">
        <v>69</v>
      </c>
      <c r="D208" t="s">
        <v>70</v>
      </c>
      <c r="E208">
        <v>701</v>
      </c>
      <c r="F208">
        <v>5.8</v>
      </c>
      <c r="G208">
        <v>2</v>
      </c>
      <c r="H208" t="s">
        <v>33</v>
      </c>
      <c r="I208" t="s">
        <v>171</v>
      </c>
      <c r="J208">
        <v>490</v>
      </c>
      <c r="K208">
        <v>950</v>
      </c>
    </row>
    <row r="209" spans="1:11" x14ac:dyDescent="0.3">
      <c r="A209" s="1">
        <v>46303</v>
      </c>
      <c r="B209" t="s">
        <v>11</v>
      </c>
      <c r="C209" t="s">
        <v>31</v>
      </c>
      <c r="D209" t="s">
        <v>32</v>
      </c>
      <c r="E209">
        <v>890</v>
      </c>
      <c r="F209">
        <v>3.8</v>
      </c>
      <c r="G209">
        <v>2</v>
      </c>
      <c r="H209" t="s">
        <v>26</v>
      </c>
      <c r="I209" t="s">
        <v>197</v>
      </c>
      <c r="J209">
        <v>660</v>
      </c>
      <c r="K209">
        <v>1100</v>
      </c>
    </row>
    <row r="210" spans="1:11" x14ac:dyDescent="0.3">
      <c r="A210" s="1">
        <v>46303</v>
      </c>
      <c r="B210" t="s">
        <v>11</v>
      </c>
      <c r="C210" t="s">
        <v>59</v>
      </c>
      <c r="D210" t="s">
        <v>60</v>
      </c>
      <c r="E210">
        <v>250</v>
      </c>
      <c r="F210">
        <v>4</v>
      </c>
      <c r="G210">
        <v>1</v>
      </c>
      <c r="H210" t="s">
        <v>77</v>
      </c>
      <c r="I210" t="s">
        <v>38</v>
      </c>
      <c r="J210">
        <v>175</v>
      </c>
      <c r="K210">
        <v>350</v>
      </c>
    </row>
    <row r="211" spans="1:11" x14ac:dyDescent="0.3">
      <c r="A211" s="1">
        <v>46303</v>
      </c>
      <c r="B211" t="s">
        <v>11</v>
      </c>
      <c r="C211" t="s">
        <v>66</v>
      </c>
      <c r="D211" t="s">
        <v>67</v>
      </c>
      <c r="E211">
        <v>797</v>
      </c>
      <c r="F211">
        <v>6</v>
      </c>
      <c r="G211">
        <v>1</v>
      </c>
      <c r="H211" t="s">
        <v>26</v>
      </c>
      <c r="I211" t="s">
        <v>156</v>
      </c>
      <c r="J211">
        <v>560</v>
      </c>
      <c r="K211">
        <v>1850</v>
      </c>
    </row>
    <row r="212" spans="1:11" x14ac:dyDescent="0.3">
      <c r="A212" s="1">
        <v>46304</v>
      </c>
      <c r="B212" t="s">
        <v>11</v>
      </c>
      <c r="C212" t="s">
        <v>100</v>
      </c>
      <c r="D212" t="s">
        <v>101</v>
      </c>
      <c r="E212">
        <v>153</v>
      </c>
      <c r="F212">
        <v>7</v>
      </c>
      <c r="G212">
        <v>1</v>
      </c>
      <c r="H212" t="s">
        <v>22</v>
      </c>
      <c r="I212" t="s">
        <v>139</v>
      </c>
      <c r="J212">
        <v>125</v>
      </c>
      <c r="K212">
        <v>235</v>
      </c>
    </row>
    <row r="213" spans="1:11" x14ac:dyDescent="0.3">
      <c r="A213" s="1">
        <v>46304</v>
      </c>
      <c r="B213" t="s">
        <v>11</v>
      </c>
      <c r="C213" t="s">
        <v>62</v>
      </c>
      <c r="D213" t="s">
        <v>63</v>
      </c>
      <c r="E213">
        <v>802</v>
      </c>
      <c r="F213">
        <v>4</v>
      </c>
      <c r="G213">
        <v>1</v>
      </c>
      <c r="H213" t="s">
        <v>26</v>
      </c>
      <c r="I213" t="s">
        <v>198</v>
      </c>
      <c r="J213">
        <v>870</v>
      </c>
      <c r="K213">
        <v>1150</v>
      </c>
    </row>
    <row r="214" spans="1:11" x14ac:dyDescent="0.3">
      <c r="A214" s="1">
        <v>46304</v>
      </c>
      <c r="B214" t="s">
        <v>11</v>
      </c>
      <c r="C214" t="s">
        <v>96</v>
      </c>
      <c r="D214" t="s">
        <v>97</v>
      </c>
      <c r="E214">
        <v>545</v>
      </c>
      <c r="F214">
        <v>6.8</v>
      </c>
      <c r="G214">
        <v>2</v>
      </c>
      <c r="H214" t="s">
        <v>22</v>
      </c>
      <c r="I214" t="s">
        <v>125</v>
      </c>
      <c r="J214">
        <v>480</v>
      </c>
      <c r="K214">
        <v>850</v>
      </c>
    </row>
    <row r="215" spans="1:11" x14ac:dyDescent="0.3">
      <c r="A215" s="1">
        <v>46304</v>
      </c>
      <c r="B215" t="s">
        <v>11</v>
      </c>
      <c r="C215" t="s">
        <v>79</v>
      </c>
      <c r="D215" t="s">
        <v>80</v>
      </c>
      <c r="E215">
        <v>98</v>
      </c>
      <c r="F215">
        <v>10</v>
      </c>
      <c r="G215">
        <v>0</v>
      </c>
      <c r="H215" t="s">
        <v>41</v>
      </c>
      <c r="I215" t="s">
        <v>199</v>
      </c>
      <c r="J215">
        <v>160</v>
      </c>
      <c r="K215">
        <v>300</v>
      </c>
    </row>
    <row r="216" spans="1:11" x14ac:dyDescent="0.3">
      <c r="A216" s="1">
        <v>46304</v>
      </c>
      <c r="B216" t="s">
        <v>11</v>
      </c>
      <c r="C216" t="s">
        <v>24</v>
      </c>
      <c r="D216" t="s">
        <v>25</v>
      </c>
      <c r="E216">
        <v>891</v>
      </c>
      <c r="F216">
        <v>3.8</v>
      </c>
      <c r="G216">
        <v>2</v>
      </c>
      <c r="H216" t="s">
        <v>33</v>
      </c>
      <c r="I216" t="s">
        <v>135</v>
      </c>
      <c r="J216">
        <v>660</v>
      </c>
      <c r="K216">
        <v>1500</v>
      </c>
    </row>
    <row r="217" spans="1:11" x14ac:dyDescent="0.3">
      <c r="A217" s="1">
        <v>46304</v>
      </c>
      <c r="B217" t="s">
        <v>11</v>
      </c>
      <c r="C217" t="s">
        <v>46</v>
      </c>
      <c r="D217" t="s">
        <v>47</v>
      </c>
      <c r="E217">
        <v>722</v>
      </c>
      <c r="F217">
        <v>6</v>
      </c>
      <c r="G217">
        <v>1</v>
      </c>
      <c r="H217" t="s">
        <v>14</v>
      </c>
      <c r="I217" t="s">
        <v>135</v>
      </c>
      <c r="J217">
        <v>540</v>
      </c>
      <c r="K217">
        <v>1750</v>
      </c>
    </row>
    <row r="218" spans="1:11" x14ac:dyDescent="0.3">
      <c r="A218" s="1">
        <v>46305</v>
      </c>
      <c r="B218" t="s">
        <v>11</v>
      </c>
      <c r="C218" t="s">
        <v>20</v>
      </c>
      <c r="D218" t="s">
        <v>21</v>
      </c>
      <c r="E218">
        <v>259</v>
      </c>
      <c r="F218">
        <v>4</v>
      </c>
      <c r="G218">
        <v>1</v>
      </c>
      <c r="H218" t="s">
        <v>77</v>
      </c>
      <c r="I218" t="s">
        <v>52</v>
      </c>
      <c r="J218">
        <v>285</v>
      </c>
      <c r="K218">
        <v>550</v>
      </c>
    </row>
    <row r="219" spans="1:11" x14ac:dyDescent="0.3">
      <c r="A219" s="1">
        <v>46305</v>
      </c>
      <c r="B219" t="s">
        <v>11</v>
      </c>
      <c r="C219" t="s">
        <v>59</v>
      </c>
      <c r="D219" t="s">
        <v>60</v>
      </c>
      <c r="E219">
        <v>250</v>
      </c>
      <c r="F219">
        <v>4</v>
      </c>
      <c r="G219">
        <v>1</v>
      </c>
      <c r="H219" t="s">
        <v>77</v>
      </c>
      <c r="I219" t="s">
        <v>200</v>
      </c>
      <c r="J219">
        <v>165</v>
      </c>
      <c r="K219">
        <v>265</v>
      </c>
    </row>
    <row r="220" spans="1:11" x14ac:dyDescent="0.3">
      <c r="A220" s="1">
        <v>46307</v>
      </c>
      <c r="B220" t="s">
        <v>11</v>
      </c>
      <c r="C220" t="s">
        <v>43</v>
      </c>
      <c r="D220" t="s">
        <v>44</v>
      </c>
      <c r="E220">
        <v>310</v>
      </c>
      <c r="F220">
        <v>4</v>
      </c>
      <c r="G220">
        <v>1</v>
      </c>
      <c r="H220" t="s">
        <v>26</v>
      </c>
      <c r="I220" t="s">
        <v>61</v>
      </c>
      <c r="J220">
        <v>135</v>
      </c>
      <c r="K220">
        <v>310</v>
      </c>
    </row>
    <row r="221" spans="1:11" x14ac:dyDescent="0.3">
      <c r="A221" s="1">
        <v>46307</v>
      </c>
      <c r="B221" t="s">
        <v>11</v>
      </c>
      <c r="C221" t="s">
        <v>90</v>
      </c>
      <c r="D221" t="s">
        <v>91</v>
      </c>
      <c r="E221">
        <v>313</v>
      </c>
      <c r="F221">
        <v>4</v>
      </c>
      <c r="G221">
        <v>1</v>
      </c>
      <c r="H221" t="s">
        <v>77</v>
      </c>
      <c r="I221" t="s">
        <v>201</v>
      </c>
      <c r="J221">
        <v>240</v>
      </c>
      <c r="K221">
        <v>580</v>
      </c>
    </row>
    <row r="222" spans="1:11" x14ac:dyDescent="0.3">
      <c r="A222" s="1">
        <v>46307</v>
      </c>
      <c r="B222" t="s">
        <v>11</v>
      </c>
      <c r="C222" t="s">
        <v>35</v>
      </c>
      <c r="D222" t="s">
        <v>36</v>
      </c>
      <c r="E222">
        <v>309</v>
      </c>
      <c r="F222">
        <v>4.2</v>
      </c>
      <c r="G222">
        <v>0</v>
      </c>
      <c r="H222" t="s">
        <v>37</v>
      </c>
      <c r="I222" t="s">
        <v>202</v>
      </c>
      <c r="J222">
        <v>160</v>
      </c>
      <c r="K222">
        <v>320</v>
      </c>
    </row>
    <row r="223" spans="1:11" x14ac:dyDescent="0.3">
      <c r="A223" s="1">
        <v>46307</v>
      </c>
      <c r="B223" t="s">
        <v>11</v>
      </c>
      <c r="C223" t="s">
        <v>28</v>
      </c>
      <c r="D223" t="s">
        <v>29</v>
      </c>
      <c r="E223">
        <v>429</v>
      </c>
      <c r="F223">
        <v>4</v>
      </c>
      <c r="G223">
        <v>1</v>
      </c>
      <c r="H223" t="s">
        <v>18</v>
      </c>
      <c r="I223" t="s">
        <v>30</v>
      </c>
      <c r="J223">
        <v>315</v>
      </c>
      <c r="K223">
        <v>495</v>
      </c>
    </row>
    <row r="224" spans="1:11" x14ac:dyDescent="0.3">
      <c r="A224" s="1">
        <v>46308</v>
      </c>
      <c r="B224" t="s">
        <v>11</v>
      </c>
      <c r="C224" t="s">
        <v>16</v>
      </c>
      <c r="D224" t="s">
        <v>17</v>
      </c>
      <c r="E224">
        <v>219</v>
      </c>
      <c r="F224">
        <v>4</v>
      </c>
      <c r="G224">
        <v>1</v>
      </c>
      <c r="H224" t="s">
        <v>41</v>
      </c>
      <c r="I224" t="s">
        <v>133</v>
      </c>
      <c r="J224">
        <v>85</v>
      </c>
      <c r="K224">
        <v>270</v>
      </c>
    </row>
    <row r="225" spans="1:11" x14ac:dyDescent="0.3">
      <c r="A225" s="1">
        <v>46308</v>
      </c>
      <c r="B225" t="s">
        <v>11</v>
      </c>
      <c r="C225" t="s">
        <v>56</v>
      </c>
      <c r="D225" t="s">
        <v>57</v>
      </c>
      <c r="E225">
        <v>340</v>
      </c>
      <c r="F225">
        <v>3.8</v>
      </c>
      <c r="G225">
        <v>2</v>
      </c>
      <c r="H225" t="s">
        <v>14</v>
      </c>
      <c r="I225" t="s">
        <v>203</v>
      </c>
      <c r="J225">
        <v>200</v>
      </c>
      <c r="K225">
        <v>460</v>
      </c>
    </row>
    <row r="226" spans="1:11" x14ac:dyDescent="0.3">
      <c r="A226" s="1">
        <v>46308</v>
      </c>
      <c r="B226" t="s">
        <v>11</v>
      </c>
      <c r="C226" t="s">
        <v>53</v>
      </c>
      <c r="D226" t="s">
        <v>54</v>
      </c>
      <c r="E226">
        <v>367</v>
      </c>
      <c r="F226">
        <v>6</v>
      </c>
      <c r="G226">
        <v>1</v>
      </c>
      <c r="H226" t="s">
        <v>37</v>
      </c>
      <c r="I226" t="s">
        <v>189</v>
      </c>
      <c r="J226">
        <v>305</v>
      </c>
      <c r="K226">
        <v>800</v>
      </c>
    </row>
    <row r="227" spans="1:11" x14ac:dyDescent="0.3">
      <c r="A227" s="1">
        <v>46308</v>
      </c>
      <c r="B227" t="s">
        <v>11</v>
      </c>
      <c r="C227" t="s">
        <v>43</v>
      </c>
      <c r="D227" t="s">
        <v>44</v>
      </c>
      <c r="E227">
        <v>272</v>
      </c>
      <c r="F227">
        <v>6</v>
      </c>
      <c r="G227">
        <v>1</v>
      </c>
      <c r="H227" t="s">
        <v>77</v>
      </c>
      <c r="I227" t="s">
        <v>61</v>
      </c>
      <c r="J227">
        <v>135</v>
      </c>
      <c r="K227">
        <v>315</v>
      </c>
    </row>
    <row r="228" spans="1:11" x14ac:dyDescent="0.3">
      <c r="A228" s="1">
        <v>46308</v>
      </c>
      <c r="B228" t="s">
        <v>11</v>
      </c>
      <c r="C228" t="s">
        <v>12</v>
      </c>
      <c r="D228" t="s">
        <v>13</v>
      </c>
      <c r="E228">
        <v>309</v>
      </c>
      <c r="F228">
        <v>4.2</v>
      </c>
      <c r="G228">
        <v>0</v>
      </c>
      <c r="H228" t="s">
        <v>14</v>
      </c>
      <c r="I228" t="s">
        <v>204</v>
      </c>
      <c r="J228">
        <v>190</v>
      </c>
      <c r="K228">
        <v>375</v>
      </c>
    </row>
    <row r="229" spans="1:11" x14ac:dyDescent="0.3">
      <c r="A229" s="1">
        <v>46309</v>
      </c>
      <c r="B229" t="s">
        <v>11</v>
      </c>
      <c r="C229" t="s">
        <v>16</v>
      </c>
      <c r="D229" t="s">
        <v>17</v>
      </c>
      <c r="E229">
        <v>157</v>
      </c>
      <c r="F229">
        <v>6</v>
      </c>
      <c r="G229">
        <v>1</v>
      </c>
      <c r="H229" t="s">
        <v>41</v>
      </c>
      <c r="I229" t="s">
        <v>133</v>
      </c>
      <c r="J229">
        <v>85</v>
      </c>
      <c r="K229">
        <v>270</v>
      </c>
    </row>
    <row r="230" spans="1:11" x14ac:dyDescent="0.3">
      <c r="A230" s="1">
        <v>46309</v>
      </c>
      <c r="B230" t="s">
        <v>11</v>
      </c>
      <c r="C230" t="s">
        <v>116</v>
      </c>
      <c r="D230" t="s">
        <v>117</v>
      </c>
      <c r="E230">
        <v>423</v>
      </c>
      <c r="F230">
        <v>7</v>
      </c>
      <c r="G230">
        <v>1</v>
      </c>
      <c r="H230" t="s">
        <v>14</v>
      </c>
      <c r="I230" t="s">
        <v>164</v>
      </c>
      <c r="J230">
        <v>320</v>
      </c>
      <c r="K230">
        <v>610</v>
      </c>
    </row>
    <row r="231" spans="1:11" x14ac:dyDescent="0.3">
      <c r="A231" s="1">
        <v>46309</v>
      </c>
      <c r="B231" t="s">
        <v>11</v>
      </c>
      <c r="C231" t="s">
        <v>39</v>
      </c>
      <c r="D231" t="s">
        <v>40</v>
      </c>
      <c r="E231">
        <v>208</v>
      </c>
      <c r="F231">
        <v>10</v>
      </c>
      <c r="G231">
        <v>0</v>
      </c>
      <c r="H231" t="s">
        <v>41</v>
      </c>
      <c r="I231" t="s">
        <v>42</v>
      </c>
      <c r="J231">
        <v>220</v>
      </c>
      <c r="K231">
        <v>390</v>
      </c>
    </row>
    <row r="232" spans="1:11" x14ac:dyDescent="0.3">
      <c r="A232" s="1">
        <v>46310</v>
      </c>
      <c r="B232" t="s">
        <v>11</v>
      </c>
      <c r="C232" t="s">
        <v>103</v>
      </c>
      <c r="D232" t="s">
        <v>104</v>
      </c>
      <c r="E232">
        <v>474</v>
      </c>
      <c r="F232">
        <v>8</v>
      </c>
      <c r="G232">
        <v>1</v>
      </c>
      <c r="H232" t="s">
        <v>22</v>
      </c>
      <c r="I232" t="s">
        <v>42</v>
      </c>
      <c r="J232">
        <v>295</v>
      </c>
      <c r="K232">
        <v>340</v>
      </c>
    </row>
    <row r="233" spans="1:11" x14ac:dyDescent="0.3">
      <c r="A233" s="1">
        <v>46310</v>
      </c>
      <c r="B233" t="s">
        <v>11</v>
      </c>
      <c r="C233" t="s">
        <v>112</v>
      </c>
      <c r="D233" t="s">
        <v>113</v>
      </c>
      <c r="E233">
        <v>268</v>
      </c>
      <c r="F233">
        <v>4</v>
      </c>
      <c r="G233">
        <v>1</v>
      </c>
      <c r="H233" t="s">
        <v>77</v>
      </c>
      <c r="I233" t="s">
        <v>205</v>
      </c>
      <c r="J233">
        <v>200</v>
      </c>
      <c r="K233">
        <v>355</v>
      </c>
    </row>
    <row r="234" spans="1:11" x14ac:dyDescent="0.3">
      <c r="A234" s="1">
        <v>46310</v>
      </c>
      <c r="B234" t="s">
        <v>11</v>
      </c>
      <c r="C234" t="s">
        <v>31</v>
      </c>
      <c r="D234" t="s">
        <v>32</v>
      </c>
      <c r="E234">
        <v>890</v>
      </c>
      <c r="F234">
        <v>3.8</v>
      </c>
      <c r="G234">
        <v>2</v>
      </c>
      <c r="H234" t="s">
        <v>26</v>
      </c>
      <c r="I234" t="s">
        <v>86</v>
      </c>
      <c r="J234">
        <v>740</v>
      </c>
      <c r="K234">
        <v>1700</v>
      </c>
    </row>
    <row r="235" spans="1:11" x14ac:dyDescent="0.3">
      <c r="A235" s="1">
        <v>46310</v>
      </c>
      <c r="B235" t="s">
        <v>11</v>
      </c>
      <c r="C235" t="s">
        <v>87</v>
      </c>
      <c r="D235" t="s">
        <v>88</v>
      </c>
      <c r="E235">
        <v>128</v>
      </c>
      <c r="F235">
        <v>10</v>
      </c>
      <c r="G235">
        <v>0</v>
      </c>
      <c r="H235" t="s">
        <v>41</v>
      </c>
      <c r="I235" t="s">
        <v>169</v>
      </c>
      <c r="J235">
        <v>180</v>
      </c>
      <c r="K235">
        <v>365</v>
      </c>
    </row>
    <row r="236" spans="1:11" x14ac:dyDescent="0.3">
      <c r="A236" s="1">
        <v>46310</v>
      </c>
      <c r="B236" t="s">
        <v>11</v>
      </c>
      <c r="C236" t="s">
        <v>69</v>
      </c>
      <c r="D236" t="s">
        <v>70</v>
      </c>
      <c r="E236">
        <v>721</v>
      </c>
      <c r="F236">
        <v>5.8</v>
      </c>
      <c r="G236">
        <v>2</v>
      </c>
      <c r="H236" t="s">
        <v>33</v>
      </c>
      <c r="I236" t="s">
        <v>156</v>
      </c>
      <c r="J236">
        <v>480</v>
      </c>
      <c r="K236">
        <v>1450</v>
      </c>
    </row>
    <row r="237" spans="1:11" x14ac:dyDescent="0.3">
      <c r="A237" s="1">
        <v>46310</v>
      </c>
      <c r="B237" t="s">
        <v>11</v>
      </c>
      <c r="C237" t="s">
        <v>49</v>
      </c>
      <c r="D237" t="s">
        <v>50</v>
      </c>
      <c r="E237">
        <v>176</v>
      </c>
      <c r="F237">
        <v>7.2</v>
      </c>
      <c r="G237">
        <v>0</v>
      </c>
      <c r="H237" t="s">
        <v>51</v>
      </c>
      <c r="I237" t="s">
        <v>119</v>
      </c>
      <c r="J237">
        <v>180</v>
      </c>
      <c r="K237">
        <v>380</v>
      </c>
    </row>
    <row r="238" spans="1:11" x14ac:dyDescent="0.3">
      <c r="A238" s="1">
        <v>46310</v>
      </c>
      <c r="B238" t="s">
        <v>11</v>
      </c>
      <c r="C238" t="s">
        <v>84</v>
      </c>
      <c r="D238" t="s">
        <v>85</v>
      </c>
      <c r="E238">
        <v>109</v>
      </c>
      <c r="F238">
        <v>10</v>
      </c>
      <c r="G238">
        <v>0</v>
      </c>
      <c r="H238" t="s">
        <v>77</v>
      </c>
      <c r="I238" t="s">
        <v>86</v>
      </c>
      <c r="J238">
        <v>75</v>
      </c>
      <c r="K238">
        <v>280</v>
      </c>
    </row>
    <row r="239" spans="1:11" x14ac:dyDescent="0.3">
      <c r="A239" s="1">
        <v>46311</v>
      </c>
      <c r="B239" t="s">
        <v>11</v>
      </c>
      <c r="C239" t="s">
        <v>66</v>
      </c>
      <c r="D239" t="s">
        <v>67</v>
      </c>
      <c r="E239">
        <v>787</v>
      </c>
      <c r="F239">
        <v>6</v>
      </c>
      <c r="G239">
        <v>1</v>
      </c>
      <c r="H239" t="s">
        <v>37</v>
      </c>
      <c r="I239" t="s">
        <v>170</v>
      </c>
      <c r="J239">
        <v>550</v>
      </c>
      <c r="K239">
        <v>850</v>
      </c>
    </row>
    <row r="240" spans="1:11" x14ac:dyDescent="0.3">
      <c r="A240" s="1">
        <v>46311</v>
      </c>
      <c r="B240" t="s">
        <v>11</v>
      </c>
      <c r="C240" t="s">
        <v>96</v>
      </c>
      <c r="D240" t="s">
        <v>97</v>
      </c>
      <c r="E240">
        <v>628</v>
      </c>
      <c r="F240">
        <v>5.8</v>
      </c>
      <c r="G240">
        <v>2</v>
      </c>
      <c r="H240" t="s">
        <v>22</v>
      </c>
      <c r="I240" t="s">
        <v>206</v>
      </c>
      <c r="J240">
        <v>360</v>
      </c>
      <c r="K240">
        <v>890</v>
      </c>
    </row>
    <row r="241" spans="1:11" x14ac:dyDescent="0.3">
      <c r="A241" s="1">
        <v>46311</v>
      </c>
      <c r="B241" t="s">
        <v>11</v>
      </c>
      <c r="C241" t="s">
        <v>100</v>
      </c>
      <c r="D241" t="s">
        <v>101</v>
      </c>
      <c r="E241">
        <v>153</v>
      </c>
      <c r="F241">
        <v>7.2</v>
      </c>
      <c r="G241">
        <v>0</v>
      </c>
      <c r="H241" t="s">
        <v>41</v>
      </c>
      <c r="I241" t="s">
        <v>102</v>
      </c>
      <c r="J241">
        <v>150</v>
      </c>
      <c r="K241">
        <v>325</v>
      </c>
    </row>
    <row r="242" spans="1:11" x14ac:dyDescent="0.3">
      <c r="A242" s="1">
        <v>46311</v>
      </c>
      <c r="B242" t="s">
        <v>11</v>
      </c>
      <c r="C242" t="s">
        <v>62</v>
      </c>
      <c r="D242" t="s">
        <v>63</v>
      </c>
      <c r="E242">
        <v>723</v>
      </c>
      <c r="F242">
        <v>6</v>
      </c>
      <c r="G242">
        <v>1</v>
      </c>
      <c r="H242" t="s">
        <v>26</v>
      </c>
      <c r="I242" t="s">
        <v>135</v>
      </c>
      <c r="J242">
        <v>600</v>
      </c>
      <c r="K242">
        <v>1900</v>
      </c>
    </row>
    <row r="243" spans="1:11" x14ac:dyDescent="0.3">
      <c r="A243" s="1">
        <v>46311</v>
      </c>
      <c r="B243" t="s">
        <v>11</v>
      </c>
      <c r="C243" t="s">
        <v>79</v>
      </c>
      <c r="D243" t="s">
        <v>80</v>
      </c>
      <c r="E243">
        <v>123</v>
      </c>
      <c r="F243">
        <v>10</v>
      </c>
      <c r="G243">
        <v>0</v>
      </c>
      <c r="H243" t="s">
        <v>41</v>
      </c>
      <c r="I243" t="s">
        <v>164</v>
      </c>
      <c r="J243">
        <v>235</v>
      </c>
      <c r="K243">
        <v>510</v>
      </c>
    </row>
    <row r="244" spans="1:11" x14ac:dyDescent="0.3">
      <c r="A244" s="1">
        <v>46311</v>
      </c>
      <c r="B244" t="s">
        <v>11</v>
      </c>
      <c r="C244" t="s">
        <v>24</v>
      </c>
      <c r="D244" t="s">
        <v>25</v>
      </c>
      <c r="E244">
        <v>860</v>
      </c>
      <c r="F244">
        <v>3.8</v>
      </c>
      <c r="G244">
        <v>2</v>
      </c>
      <c r="H244" t="s">
        <v>33</v>
      </c>
      <c r="I244" t="s">
        <v>169</v>
      </c>
      <c r="J244">
        <v>620</v>
      </c>
      <c r="K244">
        <v>870</v>
      </c>
    </row>
    <row r="245" spans="1:11" x14ac:dyDescent="0.3">
      <c r="A245" s="1">
        <v>46311</v>
      </c>
      <c r="B245" t="s">
        <v>11</v>
      </c>
      <c r="C245" t="s">
        <v>46</v>
      </c>
      <c r="D245" t="s">
        <v>47</v>
      </c>
      <c r="E245">
        <v>731</v>
      </c>
      <c r="F245">
        <v>6</v>
      </c>
      <c r="G245">
        <v>1</v>
      </c>
      <c r="H245" t="s">
        <v>14</v>
      </c>
      <c r="I245" t="s">
        <v>207</v>
      </c>
      <c r="J245">
        <v>490</v>
      </c>
      <c r="K245">
        <v>720</v>
      </c>
    </row>
    <row r="246" spans="1:11" x14ac:dyDescent="0.3">
      <c r="A246" s="1">
        <v>46312</v>
      </c>
      <c r="B246" t="s">
        <v>11</v>
      </c>
      <c r="C246" t="s">
        <v>59</v>
      </c>
      <c r="D246" t="s">
        <v>60</v>
      </c>
      <c r="E246">
        <v>275</v>
      </c>
      <c r="F246">
        <v>4</v>
      </c>
      <c r="G246">
        <v>1</v>
      </c>
      <c r="H246" t="s">
        <v>77</v>
      </c>
      <c r="I246" t="s">
        <v>157</v>
      </c>
      <c r="J246">
        <v>175</v>
      </c>
      <c r="K246">
        <v>290</v>
      </c>
    </row>
    <row r="247" spans="1:11" x14ac:dyDescent="0.3">
      <c r="A247" s="1">
        <v>46312</v>
      </c>
      <c r="B247" t="s">
        <v>11</v>
      </c>
      <c r="C247" t="s">
        <v>20</v>
      </c>
      <c r="D247" t="s">
        <v>21</v>
      </c>
      <c r="E247">
        <v>250</v>
      </c>
      <c r="F247">
        <v>4</v>
      </c>
      <c r="G247">
        <v>1</v>
      </c>
      <c r="H247" t="s">
        <v>77</v>
      </c>
      <c r="I247" t="s">
        <v>133</v>
      </c>
      <c r="J247">
        <v>260</v>
      </c>
      <c r="K247">
        <v>510</v>
      </c>
    </row>
    <row r="248" spans="1:11" x14ac:dyDescent="0.3">
      <c r="A248" s="1">
        <v>46314</v>
      </c>
      <c r="B248" t="s">
        <v>11</v>
      </c>
      <c r="C248" t="s">
        <v>43</v>
      </c>
      <c r="D248" t="s">
        <v>44</v>
      </c>
      <c r="E248">
        <v>283</v>
      </c>
      <c r="F248">
        <v>6</v>
      </c>
      <c r="G248">
        <v>1</v>
      </c>
      <c r="H248" t="s">
        <v>77</v>
      </c>
      <c r="I248" t="s">
        <v>205</v>
      </c>
      <c r="J248">
        <v>130</v>
      </c>
      <c r="K248">
        <v>320</v>
      </c>
    </row>
    <row r="249" spans="1:11" x14ac:dyDescent="0.3">
      <c r="A249" s="1">
        <v>46314</v>
      </c>
      <c r="B249" t="s">
        <v>11</v>
      </c>
      <c r="C249" t="s">
        <v>56</v>
      </c>
      <c r="D249" t="s">
        <v>57</v>
      </c>
      <c r="E249">
        <v>264</v>
      </c>
      <c r="F249">
        <v>4</v>
      </c>
      <c r="G249">
        <v>1</v>
      </c>
      <c r="H249" t="s">
        <v>22</v>
      </c>
      <c r="I249" t="s">
        <v>93</v>
      </c>
      <c r="J249">
        <v>90</v>
      </c>
      <c r="K249">
        <v>270</v>
      </c>
    </row>
    <row r="250" spans="1:11" x14ac:dyDescent="0.3">
      <c r="A250" s="1">
        <v>46314</v>
      </c>
      <c r="B250" t="s">
        <v>11</v>
      </c>
      <c r="C250" t="s">
        <v>87</v>
      </c>
      <c r="D250" t="s">
        <v>88</v>
      </c>
      <c r="E250">
        <v>246</v>
      </c>
      <c r="F250">
        <v>4.2</v>
      </c>
      <c r="G250">
        <v>0</v>
      </c>
      <c r="H250" t="s">
        <v>41</v>
      </c>
      <c r="I250" t="s">
        <v>102</v>
      </c>
      <c r="J250">
        <v>265</v>
      </c>
      <c r="K250">
        <v>520</v>
      </c>
    </row>
    <row r="251" spans="1:11" x14ac:dyDescent="0.3">
      <c r="A251" s="1">
        <v>46314</v>
      </c>
      <c r="B251" t="s">
        <v>11</v>
      </c>
      <c r="C251" t="s">
        <v>96</v>
      </c>
      <c r="D251" t="s">
        <v>97</v>
      </c>
      <c r="E251">
        <v>540</v>
      </c>
      <c r="F251">
        <v>6.8</v>
      </c>
      <c r="G251">
        <v>2</v>
      </c>
      <c r="H251" t="s">
        <v>22</v>
      </c>
      <c r="I251" t="s">
        <v>206</v>
      </c>
      <c r="J251">
        <v>360</v>
      </c>
      <c r="K251">
        <v>890</v>
      </c>
    </row>
    <row r="252" spans="1:11" x14ac:dyDescent="0.3">
      <c r="A252" s="1">
        <v>46314</v>
      </c>
      <c r="B252" t="s">
        <v>11</v>
      </c>
      <c r="C252" t="s">
        <v>90</v>
      </c>
      <c r="D252" t="s">
        <v>91</v>
      </c>
      <c r="E252">
        <v>332</v>
      </c>
      <c r="F252">
        <v>4</v>
      </c>
      <c r="G252">
        <v>1</v>
      </c>
      <c r="H252" t="s">
        <v>22</v>
      </c>
      <c r="I252" t="s">
        <v>208</v>
      </c>
      <c r="J252">
        <v>225</v>
      </c>
      <c r="K252">
        <v>450</v>
      </c>
    </row>
    <row r="253" spans="1:11" x14ac:dyDescent="0.3">
      <c r="A253" s="1">
        <v>46314</v>
      </c>
      <c r="B253" t="s">
        <v>11</v>
      </c>
      <c r="C253" t="s">
        <v>35</v>
      </c>
      <c r="D253" t="s">
        <v>36</v>
      </c>
      <c r="E253">
        <v>329</v>
      </c>
      <c r="F253">
        <v>4.2</v>
      </c>
      <c r="G253">
        <v>0</v>
      </c>
      <c r="H253" t="s">
        <v>37</v>
      </c>
      <c r="I253" t="s">
        <v>52</v>
      </c>
      <c r="J253">
        <v>225</v>
      </c>
      <c r="K253">
        <v>420</v>
      </c>
    </row>
    <row r="254" spans="1:11" x14ac:dyDescent="0.3">
      <c r="A254" s="1">
        <v>46314</v>
      </c>
      <c r="B254" t="s">
        <v>11</v>
      </c>
      <c r="C254" t="s">
        <v>12</v>
      </c>
      <c r="D254" t="s">
        <v>13</v>
      </c>
      <c r="E254">
        <v>268</v>
      </c>
      <c r="F254">
        <v>3.8</v>
      </c>
      <c r="G254">
        <v>2</v>
      </c>
      <c r="H254" t="s">
        <v>14</v>
      </c>
      <c r="I254" t="s">
        <v>209</v>
      </c>
      <c r="J254">
        <v>165</v>
      </c>
      <c r="K254">
        <v>275</v>
      </c>
    </row>
    <row r="255" spans="1:11" x14ac:dyDescent="0.3">
      <c r="A255" s="1">
        <v>46314</v>
      </c>
      <c r="B255" t="s">
        <v>11</v>
      </c>
      <c r="C255" t="s">
        <v>39</v>
      </c>
      <c r="D255" t="s">
        <v>40</v>
      </c>
      <c r="E255">
        <v>228</v>
      </c>
      <c r="F255">
        <v>8</v>
      </c>
      <c r="G255">
        <v>1</v>
      </c>
      <c r="H255" t="s">
        <v>37</v>
      </c>
      <c r="I255" t="s">
        <v>210</v>
      </c>
      <c r="J255">
        <v>275</v>
      </c>
      <c r="K255">
        <v>520</v>
      </c>
    </row>
    <row r="256" spans="1:11" x14ac:dyDescent="0.3">
      <c r="A256" s="1">
        <v>46314</v>
      </c>
      <c r="B256" t="s">
        <v>11</v>
      </c>
      <c r="C256" t="s">
        <v>28</v>
      </c>
      <c r="D256" t="s">
        <v>29</v>
      </c>
      <c r="E256">
        <v>448</v>
      </c>
      <c r="F256">
        <v>3.8</v>
      </c>
      <c r="G256">
        <v>2</v>
      </c>
      <c r="H256" t="s">
        <v>14</v>
      </c>
      <c r="I256" t="s">
        <v>211</v>
      </c>
      <c r="J256">
        <v>300</v>
      </c>
      <c r="K256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destination-deals-graded</vt:lpstr>
      <vt:lpstr>ric-fares-FULL-aug-oct-2026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Brown</dc:creator>
  <cp:lastModifiedBy>Glenn Brown</cp:lastModifiedBy>
  <dcterms:created xsi:type="dcterms:W3CDTF">2026-10-20T06:38:42Z</dcterms:created>
  <dcterms:modified xsi:type="dcterms:W3CDTF">2026-10-20T06:38:42Z</dcterms:modified>
</cp:coreProperties>
</file>